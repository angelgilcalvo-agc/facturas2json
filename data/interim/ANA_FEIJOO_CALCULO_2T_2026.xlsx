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umen ejecutivo" sheetId="1" state="visible" r:id="rId1"/>
    <sheet name="Facturas recibidas" sheetId="2" state="visible" r:id="rId2"/>
    <sheet name="Facturas emitidas" sheetId="3" state="visible" r:id="rId3"/>
    <sheet name="Retenciones" sheetId="4" state="visible" r:id="rId4"/>
    <sheet name="IVA por tipos" sheetId="5" state="visible" r:id="rId5"/>
    <sheet name="Alertas y revisión" sheetId="6" state="visible" r:id="rId6"/>
    <sheet name="Preparación de modelos" sheetId="7" state="visible" r:id="rId7"/>
    <sheet name="Documentos procesados" sheetId="8" state="visible" r:id="rId8"/>
    <sheet name="Resumen añadidos 065-080" sheetId="9" state="visible" r:id="rId9"/>
    <sheet name="Resumen añadidos 081-089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.00\ \€"/>
    <numFmt numFmtId="165" formatCode="#,##0.00\ \€;[Red]\-#,##0.00\ \€"/>
    <numFmt numFmtId="166" formatCode="dd/mm/yyyy"/>
    <numFmt numFmtId="167" formatCode="yyyy-mm-dd"/>
  </numFmts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sz val="11"/>
    </font>
  </fonts>
  <fills count="10">
    <fill>
      <patternFill/>
    </fill>
    <fill>
      <patternFill patternType="gray125"/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D9EAD3"/>
      </patternFill>
    </fill>
  </fills>
  <borders count="2">
    <border/>
    <border/>
  </borders>
  <cellStyleXfs count="1">
    <xf numFmtId="0" fontId="0" fillId="0" borderId="1"/>
  </cellStyleXfs>
  <cellXfs count="1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165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14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4" fontId="1" fillId="2" borderId="0" applyAlignment="1" pivotButton="0" quotePrefix="0" xfId="0">
      <alignment horizontal="center" vertical="center" wrapText="1"/>
    </xf>
    <xf numFmtId="9" fontId="1" fillId="2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top" wrapText="1"/>
    </xf>
    <xf numFmtId="0" fontId="1" fillId="5" borderId="0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top" wrapText="1"/>
    </xf>
    <xf numFmtId="0" fontId="1" fillId="5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14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/>
    </xf>
    <xf numFmtId="165" fontId="0" fillId="0" borderId="1" pivotButton="0" quotePrefix="0" xfId="0"/>
    <xf numFmtId="9" fontId="0" fillId="0" borderId="1" pivotButton="0" quotePrefix="0" xfId="0"/>
    <xf numFmtId="4" fontId="0" fillId="0" borderId="1" pivotButton="0" quotePrefix="0" xfId="0"/>
    <xf numFmtId="14" fontId="0" fillId="0" borderId="1" applyAlignment="1" pivotButton="0" quotePrefix="0" xfId="0">
      <alignment wrapText="1"/>
    </xf>
    <xf numFmtId="4" fontId="0" fillId="0" borderId="1" applyAlignment="1" pivotButton="0" quotePrefix="0" xfId="0">
      <alignment wrapText="1"/>
    </xf>
    <xf numFmtId="9" fontId="0" fillId="0" borderId="1" applyAlignment="1" pivotButton="0" quotePrefix="0" xfId="0">
      <alignment wrapText="1"/>
    </xf>
    <xf numFmtId="4" fontId="1" fillId="2" borderId="1" applyAlignment="1" pivotButton="0" quotePrefix="0" xfId="0">
      <alignment horizontal="center" vertical="center" wrapText="1"/>
    </xf>
    <xf numFmtId="9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/>
    </xf>
    <xf numFmtId="166" fontId="0" fillId="0" borderId="0" pivotButton="0" quotePrefix="0" xfId="0"/>
    <xf numFmtId="166" fontId="0" fillId="0" borderId="1" pivotButton="0" quotePrefix="0" xfId="0"/>
    <xf numFmtId="4" fontId="0" fillId="0" borderId="0" pivotButton="0" quotePrefix="0" xfId="0"/>
    <xf numFmtId="4" fontId="0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0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1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4" fontId="0" fillId="0" borderId="1" applyAlignment="1" pivotButton="0" quotePrefix="0" xfId="0">
      <alignment wrapText="1"/>
    </xf>
    <xf numFmtId="9" fontId="0" fillId="0" borderId="1" applyAlignment="1" pivotButton="0" quotePrefix="0" xfId="0">
      <alignment wrapText="1"/>
    </xf>
    <xf numFmtId="1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4" fontId="1" fillId="2" borderId="0" applyAlignment="1" pivotButton="0" quotePrefix="0" xfId="0">
      <alignment horizontal="center" vertical="center" wrapText="1"/>
    </xf>
    <xf numFmtId="4" fontId="1" fillId="2" borderId="1" applyAlignment="1" pivotButton="0" quotePrefix="0" xfId="0">
      <alignment horizontal="center" vertical="center" wrapText="1"/>
    </xf>
    <xf numFmtId="9" fontId="1" fillId="2" borderId="0" applyAlignment="1" pivotButton="0" quotePrefix="0" xfId="0">
      <alignment horizontal="center" vertical="center" wrapText="1"/>
    </xf>
    <xf numFmtId="9" fontId="1" fillId="2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  <xf numFmtId="0" fontId="0" fillId="6" borderId="1" pivotButton="0" quotePrefix="0" xfId="0"/>
    <xf numFmtId="0" fontId="1" fillId="6" borderId="1" pivotButton="0" quotePrefix="0" xfId="0"/>
    <xf numFmtId="0" fontId="1" fillId="6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0" fillId="7" borderId="1" pivotButton="0" quotePrefix="0" xfId="0"/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5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14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4" fontId="1" fillId="2" borderId="0" applyAlignment="1" pivotButton="0" quotePrefix="0" xfId="0">
      <alignment horizontal="center" vertical="center" wrapText="1"/>
    </xf>
    <xf numFmtId="9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horizontal="center"/>
    </xf>
    <xf numFmtId="4" fontId="3" fillId="9" borderId="0" applyAlignment="1" pivotButton="0" quotePrefix="0" xfId="0">
      <alignment horizontal="center"/>
    </xf>
    <xf numFmtId="0" fontId="2" fillId="5" borderId="1" applyAlignment="1" pivotButton="0" quotePrefix="0" xfId="0">
      <alignment horizontal="center" vertical="top" wrapText="1"/>
    </xf>
    <xf numFmtId="1" fontId="0" fillId="0" borderId="0" pivotButton="0" quotePrefix="0" xfId="0"/>
    <xf numFmtId="166" fontId="0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0" fontId="1" fillId="8" borderId="1" applyAlignment="1" pivotButton="0" quotePrefix="0" xfId="0">
      <alignment horizontal="center"/>
    </xf>
    <xf numFmtId="4" fontId="3" fillId="9" borderId="0" applyAlignment="1" pivotButton="0" quotePrefix="0" xfId="0">
      <alignment horizontal="center"/>
    </xf>
  </cellXfs>
  <cellStyles count="1">
    <cellStyle name="Normal" xfId="0"/>
  </cellStyles>
  <dxfs count="2">
    <dxf>
      <fill>
        <patternFill>
          <bgColor rgb="FFFCE5CD"/>
        </patternFill>
      </fill>
    </dxf>
    <dxf>
      <fill>
        <patternFill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Resumen 2T por tipo de operación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#VALUE!</v>
          </tx>
          <spPr>
            <a:ln>
              <a:prstDash val="solid"/>
            </a:ln>
          </spPr>
          <cat>
            <strRef>
              <f>'Resumen ejecutivo'!$A$14:$A$16</f>
              <strCache>
                <ptCount val="3"/>
                <pt idx="0">
                  <v>Gastos sin IVA nacionales / exentos</v>
                </pt>
                <pt idx="1">
                  <v>Intracomunitarias bienes</v>
                </pt>
                <pt idx="2">
                  <v>Servicios intracomunitarios recibidos</v>
                </pt>
              </strCache>
            </strRef>
          </cat>
          <val>
            <numRef>
              <f>'Resumen ejecutivo'!$B$14:$B$16</f>
              <numCache>
                <formatCode>#,##0.00</formatCode>
                <ptCount val="3"/>
                <pt idx="0">
                  <v>758.52</v>
                </pt>
                <pt idx="1">
                  <v>333.36</v>
                </pt>
                <pt idx="2">
                  <v>41.33</v>
                </pt>
              </numCache>
            </numRef>
          </val>
        </ser>
        <ser>
          <idx val="1"/>
          <order val="1"/>
          <tx>
            <v>#VALUE!</v>
          </tx>
          <spPr>
            <a:ln>
              <a:prstDash val="solid"/>
            </a:ln>
          </spPr>
          <cat>
            <strRef>
              <f>'Resumen ejecutivo'!$A$14:$A$16</f>
              <strCache>
                <ptCount val="3"/>
                <pt idx="0">
                  <v>Gastos sin IVA nacionales / exentos</v>
                </pt>
                <pt idx="1">
                  <v>Intracomunitarias bienes</v>
                </pt>
                <pt idx="2">
                  <v>Servicios intracomunitarios recibidos</v>
                </pt>
              </strCache>
            </strRef>
          </cat>
          <val>
            <numRef>
              <f>'Resumen ejecutivo'!$C$14:$C$16</f>
              <numCache>
                <formatCode>#,##0.00</formatCode>
                <ptCount val="1"/>
                <pt idx="0">
                  <v>0</v>
                </pt>
              </numCache>
            </numRef>
          </val>
        </ser>
        <ser>
          <idx val="2"/>
          <order val="2"/>
          <spPr>
            <a:ln>
              <a:prstDash val="solid"/>
            </a:ln>
          </spPr>
          <cat>
            <strRef>
              <f>'Resumen ejecutivo'!$A$14:$A$16</f>
              <strCache>
                <ptCount val="3"/>
                <pt idx="0">
                  <v>Gastos sin IVA nacionales / exentos</v>
                </pt>
                <pt idx="1">
                  <v>Intracomunitarias bienes</v>
                </pt>
                <pt idx="2">
                  <v>Servicios intracomunitarios recibidos</v>
                </pt>
              </strCache>
            </strRef>
          </cat>
          <val>
            <numRef>
              <f>'Resumen ejecutivo'!$D$14:$D$16</f>
              <numCache>
                <formatCode>#,##0.00</formatCode>
                <ptCount val="2"/>
                <pt idx="0">
                  <v>70.01000000000001</v>
                </pt>
                <pt idx="1">
                  <v>8.68</v>
                </pt>
              </numCache>
            </numRef>
          </val>
        </ser>
        <ser>
          <idx val="3"/>
          <order val="3"/>
          <tx>
            <v>#VALUE!</v>
          </tx>
          <spPr>
            <a:ln>
              <a:prstDash val="solid"/>
            </a:ln>
          </spPr>
          <cat>
            <strRef>
              <f>'Resumen ejecutivo'!$A$14:$A$16</f>
              <strCache>
                <ptCount val="3"/>
                <pt idx="0">
                  <v>Gastos sin IVA nacionales / exentos</v>
                </pt>
                <pt idx="1">
                  <v>Intracomunitarias bienes</v>
                </pt>
                <pt idx="2">
                  <v>Servicios intracomunitarios recibidos</v>
                </pt>
              </strCache>
            </strRef>
          </cat>
          <val>
            <numRef>
              <f>'Resumen ejecutivo'!$E$14:$E$16</f>
              <numCache>
                <formatCode>#,##0.00</formatCode>
                <ptCount val="3"/>
                <pt idx="0">
                  <v>758.52</v>
                </pt>
                <pt idx="1">
                  <v>333.36</v>
                </pt>
                <pt idx="2">
                  <v>41.33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#,##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2</row>
      <rowOff>0</rowOff>
    </from>
    <to>
      <col>14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FacturasRecibidas" displayName="TblFacturasRecibidas" ref="A1:X16" headerRowCount="1">
  <tableColumns count="24">
    <tableColumn id="1" name="Cliente"/>
    <tableColumn id="2" name="NIF cliente"/>
    <tableColumn id="3" name="Periodo"/>
    <tableColumn id="4" name="Fecha"/>
    <tableColumn id="5" name="Nº factura/documento"/>
    <tableColumn id="6" name="Proveedor"/>
    <tableColumn id="7" name="NIF/CIF proveedor"/>
    <tableColumn id="8" name="País"/>
    <tableColumn id="9" name="Tipo operación"/>
    <tableColumn id="10" name="Descripción"/>
    <tableColumn id="11" name="Base imponible EUR"/>
    <tableColumn id="12" name="% IVA"/>
    <tableColumn id="13" name="IVA soportado EUR"/>
    <tableColumn id="14" name="Total EUR"/>
    <tableColumn id="15" name="Moneda original"/>
    <tableColumn id="16" name="Importe original"/>
    <tableColumn id="17" name="Deducibilidad"/>
    <tableColumn id="18" name="% Retención"/>
    <tableColumn id="19" name="Retención EUR"/>
    <tableColumn id="20" name="Clasificación fiscal"/>
    <tableColumn id="21" name="Estado revisión"/>
    <tableColumn id="22" name="Observaciones"/>
    <tableColumn id="23" name="Documento origen"/>
    <tableColumn id="24" name="Incluye en 2T"/>
  </tableColumns>
  <tableStyleInfo name="TableStyleMedium2" showRowStripes="1"/>
</table>
</file>

<file path=xl/tables/table2.xml><?xml version="1.0" encoding="utf-8"?>
<table xmlns="http://schemas.openxmlformats.org/spreadsheetml/2006/main" id="2" name="TblIVA" displayName="TblIVA" ref="A3:H8" headerRowCount="1">
  <tableColumns count="8">
    <tableColumn id="1" name="IVA nacional 21%"/>
    <tableColumn id="2" name="Incluye documentos con IVA 21% y fecha 01/04-30/06"/>
    <tableColumn id="3" name="19.168,23"/>
    <tableColumn id="4" name="21%"/>
    <tableColumn id="5" name="4.025,35"/>
    <tableColumn id="6" name="0,00"/>
    <tableColumn id="7" name="23.193,58"/>
    <tableColumn id="8" name="Incluye Amazon neto de notas de crédito, Amazon Ads España, Eurogrow, IONOS, Finetwork marzo, Navapack, PlasticForte, portes y facturas mixtas"/>
  </tableColumns>
  <tableStyleInfo name="TableStyleMedium2" showRowStripes="1"/>
</table>
</file>

<file path=xl/tables/table3.xml><?xml version="1.0" encoding="utf-8"?>
<table xmlns="http://schemas.openxmlformats.org/spreadsheetml/2006/main" id="3" name="TblAlertas" displayName="TblAlertas" ref="A1:G9" headerRowCount="1">
  <tableColumns count="7">
    <tableColumn id="1" name="Severidad"/>
    <tableColumn id="2" name="Documento"/>
    <tableColumn id="3" name="Fecha"/>
    <tableColumn id="4" name="Proveedor"/>
    <tableColumn id="5" name="Alerta"/>
    <tableColumn id="6" name="Acción recomendada"/>
    <tableColumn id="7" name="Estado"/>
  </tableColumns>
  <tableStyleInfo name="TableStyleMedium2" showRowStripes="1"/>
</table>
</file>

<file path=xl/tables/table4.xml><?xml version="1.0" encoding="utf-8"?>
<table xmlns="http://schemas.openxmlformats.org/spreadsheetml/2006/main" id="4" name="TblModelos" displayName="TblModelos" ref="A3:F11" headerRowCount="1">
  <tableColumns count="6">
    <tableColumn id="1" name="Modelo"/>
    <tableColumn id="2" name="Concepto"/>
    <tableColumn id="3" name="Importe/Base EUR"/>
    <tableColumn id="4" name="IVA/Retención EUR"/>
    <tableColumn id="5" name="Criterio"/>
    <tableColumn id="6" name="Estado"/>
  </tableColumns>
  <tableStyleInfo name="TableStyleMedium2" showRowStripes="1"/>
</table>
</file>

<file path=xl/tables/table5.xml><?xml version="1.0" encoding="utf-8"?>
<table xmlns="http://schemas.openxmlformats.org/spreadsheetml/2006/main" id="5" name="TblDocumentos" displayName="TblDocumentos" ref="A1:J16" headerRowCount="1">
  <tableColumns count="10">
    <tableColumn id="1" name="Nº"/>
    <tableColumn id="2" name="Archivo"/>
    <tableColumn id="3" name="Fecha documento"/>
    <tableColumn id="4" name="Documento"/>
    <tableColumn id="5" name="Proveedor"/>
    <tableColumn id="6" name="Cliente/NIF"/>
    <tableColumn id="7" name="Importe principal"/>
    <tableColumn id="8" name="Moneda"/>
    <tableColumn id="9" name="Estado"/>
    <tableColumn id="10" name="Nota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10" defaultColWidth="9" defaultRowHeight="14.25"/>
  <cols>
    <col width="98.125" customWidth="1" style="81" min="1" max="1"/>
    <col width="22.25" customWidth="1" style="81" min="2" max="2"/>
    <col width="11.375" customWidth="1" style="81" min="3" max="3"/>
    <col width="14.625" customWidth="1" style="81" min="4" max="4"/>
    <col width="8" customWidth="1" style="81" min="5" max="5"/>
    <col width="123" customWidth="1" style="81" min="6" max="6"/>
    <col width="5" customWidth="1" style="81" min="7" max="8"/>
  </cols>
  <sheetData>
    <row r="1" ht="15" customHeight="1" s="81">
      <c r="A1" s="113" t="inlineStr">
        <is>
          <t>Resumen ejecutivo fiscal - ANA BELEN FEIJOO VIDUEIRA - 2T 2026</t>
        </is>
      </c>
      <c r="B1" s="24" t="n"/>
      <c r="C1" s="24" t="n"/>
      <c r="D1" s="24" t="n"/>
      <c r="E1" s="24" t="n"/>
      <c r="F1" s="24" t="n"/>
      <c r="G1" s="24" t="n"/>
      <c r="H1" s="24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87" t="n"/>
      <c r="Z1" s="87" t="n"/>
    </row>
    <row r="3" ht="15" customHeight="1" s="81">
      <c r="A3" s="86" t="inlineStr">
        <is>
          <t>Cliente</t>
        </is>
      </c>
      <c r="B3" t="inlineStr">
        <is>
          <t>ANA BELEN FEIJOO VIDUEIRA</t>
        </is>
      </c>
    </row>
    <row r="4" ht="15" customHeight="1" s="81">
      <c r="A4" s="86" t="inlineStr">
        <is>
          <t>NIF</t>
        </is>
      </c>
      <c r="B4" t="inlineStr">
        <is>
          <t>34975084L</t>
        </is>
      </c>
    </row>
    <row r="5" ht="15" customHeight="1" s="81">
      <c r="A5" s="86" t="inlineStr">
        <is>
          <t>Periodo objetivo</t>
        </is>
      </c>
      <c r="B5" t="inlineStr">
        <is>
          <t>2T 2026</t>
        </is>
      </c>
    </row>
    <row r="6" ht="15" customHeight="1" s="81">
      <c r="A6" s="86" t="inlineStr">
        <is>
          <t>Documentos procesados</t>
        </is>
      </c>
      <c r="B6" s="114" t="n">
        <v>122</v>
      </c>
    </row>
    <row r="7" ht="15" customHeight="1" s="81">
      <c r="A7" s="86" t="inlineStr">
        <is>
          <t>Documentos incluidos 2T</t>
        </is>
      </c>
      <c r="B7" s="114" t="n">
        <v>117</v>
      </c>
    </row>
    <row r="8" ht="15" customHeight="1" s="81">
      <c r="A8" s="86" t="inlineStr">
        <is>
          <t>Documentos fuera 2T</t>
        </is>
      </c>
      <c r="B8" s="114" t="n">
        <v>6</v>
      </c>
    </row>
    <row r="9" ht="15" customHeight="1" s="81">
      <c r="A9" s="86" t="inlineStr">
        <is>
          <t>Documentos pendientes revisión</t>
        </is>
      </c>
      <c r="B9" s="114" t="n">
        <v>36</v>
      </c>
    </row>
    <row r="10" ht="15" customHeight="1" s="81">
      <c r="A10" s="86" t="inlineStr">
        <is>
          <t>Retenciones detectadas</t>
        </is>
      </c>
      <c r="B10">
        <f>SUM('Facturas recibidas'!S2:S150)</f>
        <v/>
      </c>
    </row>
    <row r="11">
      <c r="B11">
        <f>SUMIFS('Facturas recibidas'!K2:K150, 'Facturas recibidas'!X2:X150, "Sí")</f>
        <v/>
      </c>
      <c r="C11">
        <f>SUMIFS('Facturas recibidas'!M2:M150, 'Facturas recibidas'!X2:X150, "Sí")</f>
        <v/>
      </c>
      <c r="E11">
        <f>SUMIFS('Facturas recibidas'!N2:N150, 'Facturas recibidas'!X2:X150, "Sí")</f>
        <v/>
      </c>
    </row>
    <row r="12" ht="30" customHeight="1" s="81">
      <c r="A12" s="82" t="inlineStr">
        <is>
          <t>Indicador 2T</t>
        </is>
      </c>
      <c r="B12" s="82" t="inlineStr">
        <is>
          <t>Importe/Base</t>
        </is>
      </c>
      <c r="C12" s="82" t="inlineStr">
        <is>
          <t>IVA Soportado</t>
        </is>
      </c>
      <c r="D12" s="82" t="inlineStr">
        <is>
          <t>IVA Devengado ISP</t>
        </is>
      </c>
      <c r="E12" s="82" t="inlineStr">
        <is>
          <t>Total</t>
        </is>
      </c>
      <c r="F12" s="82" t="inlineStr">
        <is>
          <t>Notas</t>
        </is>
      </c>
    </row>
    <row r="13" ht="28.5" customHeight="1" s="81">
      <c r="A13" s="50" t="inlineStr">
        <is>
          <t>Facturas nacionales con IVA 21%</t>
        </is>
      </c>
      <c r="B13" s="92">
        <f>'IVA por tipos'!C3 + 280.00</f>
        <v/>
      </c>
      <c r="C13" s="92">
        <f>'IVA por tipos'!E3 + 58.80</f>
        <v/>
      </c>
      <c r="D13" s="92" t="n">
        <v>178.8</v>
      </c>
      <c r="E13" s="92">
        <f>B13+C13</f>
        <v/>
      </c>
      <c r="F13" s="50" t="inlineStr">
        <is>
          <t>Incluye AUCTANE, CIFRA, Amazon, Amazon Ads España, Eurogrow, IONOS, Finetwork, Digi, Navapack, PlasticForte, Leroy Merlin, alquiler, portes 21% y facturas mixtas</t>
        </is>
      </c>
    </row>
    <row r="14">
      <c r="A14" s="50" t="inlineStr">
        <is>
          <t>Gastos sin IVA nacionales / exentos</t>
        </is>
      </c>
      <c r="B14" s="92">
        <f>'IVA por tipos'!C4</f>
        <v/>
      </c>
      <c r="C14" s="92" t="n">
        <v>0</v>
      </c>
      <c r="D14" s="92" t="n">
        <v>14.66</v>
      </c>
      <c r="E14" s="92">
        <f>B14</f>
        <v/>
      </c>
      <c r="F14" s="50" t="inlineStr">
        <is>
          <t>TGSS autónomos, comunidad, seguros de préstamo y otros sin IVA; revisar deducibilidad/afectación</t>
        </is>
      </c>
    </row>
    <row r="15">
      <c r="A15" s="50" t="inlineStr">
        <is>
          <t>Intracomunitarias bienes</t>
        </is>
      </c>
      <c r="B15" s="92">
        <f>'IVA por tipos'!C5</f>
        <v/>
      </c>
      <c r="C15" s="92" t="n">
        <v>67.79000000000001</v>
      </c>
      <c r="D15" s="92">
        <f>'IVA por tipos'!F5</f>
        <v/>
      </c>
      <c r="E15" s="92">
        <f>B15</f>
        <v/>
      </c>
      <c r="F15" s="50" t="inlineStr">
        <is>
          <t>ARTEVASI Portugal y VIVEIROS CULTIFLOR; ISP estimada al 21%</t>
        </is>
      </c>
    </row>
    <row r="16">
      <c r="A16" s="50" t="inlineStr">
        <is>
          <t>Servicios intracomunitarios recibidos</t>
        </is>
      </c>
      <c r="B16" s="92">
        <f>'IVA por tipos'!C6</f>
        <v/>
      </c>
      <c r="C16" s="92" t="n"/>
      <c r="D16" s="92">
        <f>'IVA por tipos'!F6</f>
        <v/>
      </c>
      <c r="E16" s="92">
        <f>B16</f>
        <v/>
      </c>
      <c r="F16" s="50" t="inlineStr">
        <is>
          <t>Amazon Ads Italia/Francia y Stripe Irlanda con reverse charge; ISP estimada al 21%</t>
        </is>
      </c>
    </row>
    <row r="17">
      <c r="A17" s="50" t="inlineStr">
        <is>
          <t>Facturas nacionales con IVA 10%</t>
        </is>
      </c>
      <c r="B17" s="92">
        <f>'IVA por tipos'!C7</f>
        <v/>
      </c>
      <c r="C17" s="92">
        <f>'IVA por tipos'!E7</f>
        <v/>
      </c>
      <c r="D17" s="92" t="n">
        <v>214.46</v>
      </c>
      <c r="E17" s="92">
        <f>B17+C17</f>
        <v/>
      </c>
      <c r="F17" s="50" t="inlineStr">
        <is>
          <t>Iberdrola, Siro, Projar y Ricardo Terán; revisar afectación/deducibilidad donde proceda</t>
        </is>
      </c>
    </row>
    <row r="18">
      <c r="A18" t="inlineStr">
        <is>
          <t>Proveedor China / importación</t>
        </is>
      </c>
      <c r="B18" s="90">
        <f>'IVA por tipos'!C9</f>
        <v/>
      </c>
      <c r="C18" s="90" t="n"/>
      <c r="D18" s="90" t="n"/>
      <c r="E18" s="90">
        <f>B18</f>
        <v/>
      </c>
      <c r="F18" t="inlineStr">
        <is>
          <t>Alibaba/Wuhan China; no se incorpora IVA importación sin DUA</t>
        </is>
      </c>
    </row>
    <row r="19">
      <c r="A19" t="inlineStr">
        <is>
          <t>Total gastos conocidos 2T</t>
        </is>
      </c>
      <c r="B19" s="90">
        <f>SUM(B13:B18)</f>
        <v/>
      </c>
      <c r="C19" s="90">
        <f>SUM(C13,C17)</f>
        <v/>
      </c>
      <c r="D19" s="90">
        <f>SUM(D15:D16)</f>
        <v/>
      </c>
      <c r="E19" s="90">
        <f>SUM(E13:E18)</f>
        <v/>
      </c>
      <c r="F19" t="inlineStr">
        <is>
          <t>Incluye todas las facturas y documentos del 2T; excluye importes fuera de periodo; ISP UE queda como estimación</t>
        </is>
      </c>
    </row>
    <row r="20" ht="15" customHeight="1" s="81">
      <c r="A20" s="29" t="inlineStr">
        <is>
          <t>Notas de prudencia fiscal</t>
        </is>
      </c>
      <c r="B20" s="24" t="n"/>
      <c r="C20" s="24" t="n"/>
      <c r="D20" s="24" t="n"/>
      <c r="E20" s="24" t="n"/>
      <c r="F20" s="24" t="n"/>
      <c r="G20" s="24" t="n"/>
      <c r="H20" s="24" t="n"/>
    </row>
    <row r="21" ht="27.95000076293945" customHeight="1" s="81">
      <c r="A21" s="50" t="inlineStr">
        <is>
          <t>Notas de prudencia fiscal</t>
        </is>
      </c>
      <c r="B21" s="50" t="n"/>
      <c r="C21" s="50" t="n"/>
      <c r="D21" s="50" t="n"/>
      <c r="E21" s="50" t="n"/>
      <c r="F21" s="50" t="n"/>
      <c r="G21" s="50" t="n"/>
      <c r="H21" s="50" t="n"/>
    </row>
    <row r="22" ht="27.95000076293945" customHeight="1" s="81">
      <c r="A22" s="50" t="inlineStr">
        <is>
          <t>1. No se inventan datos: los importes no legibles o no convertidos se dejan pendientes de revisión.</t>
        </is>
      </c>
      <c r="B22" s="50" t="n"/>
      <c r="C22" s="50" t="n"/>
      <c r="D22" s="50" t="n"/>
      <c r="E22" s="50" t="n"/>
      <c r="F22" s="50" t="n"/>
      <c r="G22" s="50" t="n"/>
      <c r="H22" s="50" t="n"/>
    </row>
    <row r="23" ht="27.95000076293945" customHeight="1" s="81">
      <c r="A23" s="50" t="inlineStr">
        <is>
          <t>2. Los documentos de enero, febrero y marzo aparecen en el libro, pero no se suman al 2T salvo decisión profesional distinta.</t>
        </is>
      </c>
      <c r="B23" s="50" t="n"/>
      <c r="C23" s="50" t="n"/>
      <c r="D23" s="50" t="n"/>
      <c r="E23" s="50" t="n"/>
      <c r="F23" s="50" t="n"/>
      <c r="G23" s="50" t="n"/>
      <c r="H23" s="50" t="n"/>
    </row>
    <row r="24" ht="27.95000076293945" customHeight="1" s="81">
      <c r="A24" s="50" t="inlineStr">
        <is>
          <t>3. Operaciones UE/China/EE.UU. requieren revisión de ROI, inversión del sujeto pasivo, DUA, justificantes de pago y tipo de cambio.</t>
        </is>
      </c>
      <c r="B24" s="50" t="n"/>
      <c r="C24" s="50" t="n"/>
      <c r="D24" s="50" t="n"/>
      <c r="E24" s="50" t="n"/>
      <c r="F24" s="50" t="n"/>
      <c r="G24" s="50" t="n"/>
      <c r="H24" s="50" t="n"/>
    </row>
    <row r="25" ht="27.95000076293945" customHeight="1" s="81">
      <c r="A25" s="50" t="inlineStr">
        <is>
          <t>4. Este archivo corresponde solo a ANA BELEN FEIJOO VIDUEIRA; no mezclar con otros clientes.</t>
        </is>
      </c>
      <c r="B25" s="50" t="n"/>
      <c r="C25" s="50" t="n"/>
      <c r="D25" s="50" t="n"/>
      <c r="E25" s="50" t="n"/>
      <c r="F25" s="50" t="n"/>
      <c r="G25" s="50" t="n"/>
      <c r="H25" s="50" t="n"/>
    </row>
  </sheetData>
  <mergeCells count="2">
    <mergeCell ref="A20:H20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5"/>
  <sheetViews>
    <sheetView workbookViewId="0">
      <selection activeCell="A1" sqref="A1"/>
    </sheetView>
  </sheetViews>
  <sheetFormatPr baseColWidth="10" defaultColWidth="9" defaultRowHeight="14.25"/>
  <cols>
    <col width="22.25" customWidth="1" style="81" min="1" max="1"/>
    <col width="11.125" customWidth="1" style="81" min="2" max="2"/>
    <col width="9" customWidth="1" style="81" min="3" max="3"/>
    <col width="15.875" customWidth="1" style="81" min="4" max="4"/>
    <col width="21.125" customWidth="1" style="81" min="5" max="5"/>
    <col width="36.25" customWidth="1" style="81" min="6" max="6"/>
    <col width="20" customWidth="1" style="81" min="7" max="7"/>
    <col width="18.75" customWidth="1" style="81" min="8" max="8"/>
    <col width="32" customWidth="1" style="81" min="9" max="9"/>
    <col width="43.375" customWidth="1" style="81" min="10" max="10"/>
    <col width="18.25" customWidth="1" style="81" min="11" max="11"/>
    <col width="7.375" customWidth="1" style="81" min="12" max="12"/>
    <col width="17.375" customWidth="1" style="81" min="13" max="13"/>
    <col width="10.25" customWidth="1" style="81" min="14" max="14"/>
    <col width="15.625" customWidth="1" style="81" min="15" max="15"/>
    <col width="15.375" customWidth="1" style="81" min="16" max="16"/>
    <col width="13.5" customWidth="1" style="81" min="17" max="17"/>
    <col width="12.375" customWidth="1" style="81" min="18" max="18"/>
    <col width="14.25" customWidth="1" style="81" min="19" max="19"/>
    <col width="42.875" customWidth="1" style="81" min="20" max="20"/>
    <col width="16.625" customWidth="1" style="81" min="21" max="21"/>
    <col width="103.25" customWidth="1" style="81" min="22" max="22"/>
    <col width="61.25" customWidth="1" style="81" min="23" max="23"/>
    <col width="13.125" customWidth="1" style="81" min="24" max="24"/>
  </cols>
  <sheetData>
    <row r="1" ht="30" customHeight="1" s="81">
      <c r="A1" s="16" t="inlineStr">
        <is>
          <t>Cliente</t>
        </is>
      </c>
      <c r="B1" s="16" t="inlineStr">
        <is>
          <t>NIF cliente</t>
        </is>
      </c>
      <c r="C1" s="16" t="inlineStr">
        <is>
          <t>Periodo</t>
        </is>
      </c>
      <c r="D1" s="16" t="inlineStr">
        <is>
          <t>Fecha</t>
        </is>
      </c>
      <c r="E1" s="16" t="inlineStr">
        <is>
          <t>Nº factura/documento</t>
        </is>
      </c>
      <c r="F1" s="16" t="inlineStr">
        <is>
          <t>Proveedor</t>
        </is>
      </c>
      <c r="G1" s="16" t="inlineStr">
        <is>
          <t>NIF/CIF proveedor</t>
        </is>
      </c>
      <c r="H1" s="16" t="inlineStr">
        <is>
          <t>País</t>
        </is>
      </c>
      <c r="I1" s="16" t="inlineStr">
        <is>
          <t>Tipo operación</t>
        </is>
      </c>
      <c r="J1" s="16" t="inlineStr">
        <is>
          <t>Descripción</t>
        </is>
      </c>
      <c r="K1" s="16" t="inlineStr">
        <is>
          <t>Base imponible EUR</t>
        </is>
      </c>
      <c r="L1" s="16" t="inlineStr">
        <is>
          <t>% IVA</t>
        </is>
      </c>
      <c r="M1" s="16" t="inlineStr">
        <is>
          <t>IVA soportado EUR</t>
        </is>
      </c>
      <c r="N1" s="16" t="inlineStr">
        <is>
          <t>Total EUR</t>
        </is>
      </c>
      <c r="O1" s="16" t="inlineStr">
        <is>
          <t>Moneda original</t>
        </is>
      </c>
      <c r="P1" s="16" t="inlineStr">
        <is>
          <t>Importe original</t>
        </is>
      </c>
      <c r="Q1" s="16" t="inlineStr">
        <is>
          <t>Deducibilidad</t>
        </is>
      </c>
      <c r="R1" s="16" t="inlineStr">
        <is>
          <t>% Retención</t>
        </is>
      </c>
      <c r="S1" s="16" t="inlineStr">
        <is>
          <t>Retención EUR</t>
        </is>
      </c>
      <c r="T1" s="16" t="inlineStr">
        <is>
          <t>Clasificación fiscal</t>
        </is>
      </c>
      <c r="U1" s="16" t="inlineStr">
        <is>
          <t>Estado revisión</t>
        </is>
      </c>
      <c r="V1" s="16" t="inlineStr">
        <is>
          <t>Observaciones</t>
        </is>
      </c>
      <c r="W1" s="16" t="inlineStr">
        <is>
          <t>Documento origen</t>
        </is>
      </c>
      <c r="X1" s="16" t="inlineStr">
        <is>
          <t>Incluye en 2T</t>
        </is>
      </c>
      <c r="Y1" s="87" t="n"/>
      <c r="Z1" s="87" t="n"/>
    </row>
    <row r="2">
      <c r="A2" t="inlineStr">
        <is>
          <t>ANA BELEN FEIJOO VIDUEIRA</t>
        </is>
      </c>
      <c r="B2" t="inlineStr">
        <is>
          <t>34975084L</t>
        </is>
      </c>
      <c r="C2" t="inlineStr">
        <is>
          <t>2T 2026</t>
        </is>
      </c>
      <c r="D2" s="83" t="n">
        <v>46028</v>
      </c>
      <c r="E2" t="inlineStr">
        <is>
          <t>LX2251204</t>
        </is>
      </c>
      <c r="F2" t="inlineStr">
        <is>
          <t>JINHUA LANXIANG IMPORT &amp; EXPORT CO., LTD</t>
        </is>
      </c>
      <c r="G2" t="inlineStr">
        <is>
          <t>Pendiente</t>
        </is>
      </c>
      <c r="H2" t="inlineStr">
        <is>
          <t>China</t>
        </is>
      </c>
      <c r="I2" t="inlineStr">
        <is>
          <t>Importación de bienes / compra exterior</t>
        </is>
      </c>
      <c r="J2" t="inlineStr">
        <is>
          <t>Bolsas para chalecos, factura comercial EXW</t>
        </is>
      </c>
      <c r="K2" s="84" t="n">
        <v>997.27</v>
      </c>
      <c r="L2" s="85" t="n">
        <v>0</v>
      </c>
      <c r="M2" s="84" t="n">
        <v>0</v>
      </c>
      <c r="N2" s="84" t="n">
        <v>997.27</v>
      </c>
      <c r="O2" t="inlineStr">
        <is>
          <t>USD</t>
        </is>
      </c>
      <c r="P2" s="84" t="n">
        <v>1125</v>
      </c>
      <c r="Q2" s="85" t="n">
        <v>1</v>
      </c>
      <c r="R2" s="85" t="n">
        <v>0</v>
      </c>
      <c r="S2" s="84" t="n">
        <v>0</v>
      </c>
      <c r="T2" t="inlineStr">
        <is>
          <t>Compra exterior sin IVA español</t>
        </is>
      </c>
      <c r="U2" t="inlineStr">
        <is>
          <t>Pendiente de revisión</t>
        </is>
      </c>
      <c r="V2" t="inlineStr">
        <is>
          <t>Importe EUR indicado como pagado en el documento. Falta DUA/IVA importación y tipo de cambio justificativo.</t>
        </is>
      </c>
      <c r="W2" t="inlineStr">
        <is>
          <t>001_2T 2026_ALIBABA-COMPRA BOLSAS PARA CHALECOS.pdf</t>
        </is>
      </c>
      <c r="X2" t="inlineStr">
        <is>
          <t>No</t>
        </is>
      </c>
    </row>
    <row r="3">
      <c r="A3" t="inlineStr">
        <is>
          <t>ANA BELEN FEIJOO VIDUEIRA</t>
        </is>
      </c>
      <c r="B3" t="inlineStr">
        <is>
          <t>34975084L</t>
        </is>
      </c>
      <c r="C3" t="inlineStr">
        <is>
          <t>2T 2026</t>
        </is>
      </c>
      <c r="D3" s="83" t="n">
        <v>46149</v>
      </c>
      <c r="E3" t="inlineStr">
        <is>
          <t>CN20260507ES</t>
        </is>
      </c>
      <c r="F3" t="inlineStr">
        <is>
          <t>WUHAN BOSA SHIPPING CO., LTD</t>
        </is>
      </c>
      <c r="G3" t="inlineStr">
        <is>
          <t>Pendiente</t>
        </is>
      </c>
      <c r="H3" t="inlineStr">
        <is>
          <t>China</t>
        </is>
      </c>
      <c r="I3" t="inlineStr">
        <is>
          <t>Servicios transporte/logística exterior DDP</t>
        </is>
      </c>
      <c r="J3" t="inlineStr">
        <is>
          <t>Envío chalecos y cubre motos por mar DDP</t>
        </is>
      </c>
      <c r="K3" s="84" t="n"/>
      <c r="L3" s="85" t="n">
        <v>0</v>
      </c>
      <c r="M3" s="84" t="n"/>
      <c r="N3" s="84" t="n"/>
      <c r="O3" t="inlineStr">
        <is>
          <t>USD</t>
        </is>
      </c>
      <c r="P3" s="84" t="n">
        <v>2718.1</v>
      </c>
      <c r="Q3" s="85" t="n">
        <v>1</v>
      </c>
      <c r="R3" s="85" t="n">
        <v>0</v>
      </c>
      <c r="S3" s="84" t="n">
        <v>0</v>
      </c>
      <c r="T3" t="inlineStr">
        <is>
          <t>Servicio/proveedor no UE sin IVA español</t>
        </is>
      </c>
      <c r="U3" t="inlineStr">
        <is>
          <t>Pendiente de revisión</t>
        </is>
      </c>
      <c r="V3" t="inlineStr">
        <is>
          <t>Falta conversión EUR, factura/justificante de pago y posible tratamiento de importación/DUA por condición DDP.</t>
        </is>
      </c>
      <c r="W3" t="inlineStr">
        <is>
          <t>002_2T 2026_Alibaba-Envio Chalecos+Cubre motos-Ana Feijoo---2026.05.03.pdf</t>
        </is>
      </c>
      <c r="X3" t="inlineStr">
        <is>
          <t>Sí</t>
        </is>
      </c>
    </row>
    <row r="4">
      <c r="A4" t="inlineStr">
        <is>
          <t>ANA BELEN FEIJOO VIDUEIRA</t>
        </is>
      </c>
      <c r="B4" t="inlineStr">
        <is>
          <t>34975084L</t>
        </is>
      </c>
      <c r="C4" t="inlineStr">
        <is>
          <t>2T 2026</t>
        </is>
      </c>
      <c r="D4" s="83" t="n">
        <v>46129</v>
      </c>
      <c r="E4" t="inlineStr">
        <is>
          <t>FA 2026/11490</t>
        </is>
      </c>
      <c r="F4" t="inlineStr">
        <is>
          <t>ARTEVASI, S.A.</t>
        </is>
      </c>
      <c r="G4" t="inlineStr">
        <is>
          <t>PT507747879</t>
        </is>
      </c>
      <c r="H4" t="inlineStr">
        <is>
          <t>Portugal</t>
        </is>
      </c>
      <c r="I4" t="inlineStr">
        <is>
          <t>Adquisición intracomunitaria de bienes</t>
        </is>
      </c>
      <c r="J4" t="inlineStr">
        <is>
          <t>Platos y artículos de plástico. Exento art. 14 RITI</t>
        </is>
      </c>
      <c r="K4" s="84" t="n">
        <v>333.36</v>
      </c>
      <c r="L4" s="85" t="n">
        <v>0</v>
      </c>
      <c r="M4" s="84" t="n">
        <v>0</v>
      </c>
      <c r="N4" s="84" t="n">
        <v>333.36</v>
      </c>
      <c r="O4" t="inlineStr">
        <is>
          <t>EUR</t>
        </is>
      </c>
      <c r="P4" s="84" t="n">
        <v>333.36</v>
      </c>
      <c r="Q4" s="85" t="n">
        <v>1</v>
      </c>
      <c r="R4" s="85" t="n">
        <v>0</v>
      </c>
      <c r="S4" s="84" t="n">
        <v>0</v>
      </c>
      <c r="T4" t="inlineStr">
        <is>
          <t>Operación intracomunitaria con inversión sujeto pasivo</t>
        </is>
      </c>
      <c r="U4" t="inlineStr">
        <is>
          <t>Pendiente de revisión</t>
        </is>
      </c>
      <c r="V4" t="inlineStr">
        <is>
          <t>Proveedor UE con IVA 0. Requiere autorrepercusión y deducción si procede; base a declarar en operaciones intracomunitarias.</t>
        </is>
      </c>
      <c r="W4" t="inlineStr">
        <is>
          <t>003_2T 2026_ARTEVASI FA_2026_11490.pdf</t>
        </is>
      </c>
      <c r="X4" t="inlineStr">
        <is>
          <t>Sí</t>
        </is>
      </c>
    </row>
    <row r="5">
      <c r="A5" t="inlineStr">
        <is>
          <t>ANA BELEN FEIJOO VIDUEIRA</t>
        </is>
      </c>
      <c r="B5" t="inlineStr">
        <is>
          <t>34975084L</t>
        </is>
      </c>
      <c r="C5" t="inlineStr">
        <is>
          <t>2T 2026</t>
        </is>
      </c>
      <c r="D5" s="83" t="n">
        <v>46119</v>
      </c>
      <c r="E5" t="inlineStr">
        <is>
          <t>ES26FC02107187</t>
        </is>
      </c>
      <c r="F5" t="inlineStr">
        <is>
          <t>AUCTANE S.L.U</t>
        </is>
      </c>
      <c r="G5" t="inlineStr">
        <is>
          <t>ESB83357863</t>
        </is>
      </c>
      <c r="H5" t="inlineStr">
        <is>
          <t>España</t>
        </is>
      </c>
      <c r="I5" t="inlineStr">
        <is>
          <t>Compra/servicio nacional con IVA</t>
        </is>
      </c>
      <c r="J5" t="inlineStr">
        <is>
          <t>Correos Express - Paq 24</t>
        </is>
      </c>
      <c r="K5" s="84" t="n">
        <v>4.89</v>
      </c>
      <c r="L5" s="85" t="n">
        <v>0.21</v>
      </c>
      <c r="M5" s="84" t="n">
        <v>1.03</v>
      </c>
      <c r="N5" s="84" t="n">
        <v>5.92</v>
      </c>
      <c r="O5" t="inlineStr">
        <is>
          <t>EUR</t>
        </is>
      </c>
      <c r="P5" s="84" t="n">
        <v>5.92</v>
      </c>
      <c r="Q5" s="85" t="n">
        <v>1</v>
      </c>
      <c r="R5" s="85" t="n">
        <v>0</v>
      </c>
      <c r="S5" s="84" t="n">
        <v>0</v>
      </c>
      <c r="T5" t="inlineStr">
        <is>
          <t>Gasto con IVA soportado nacional</t>
        </is>
      </c>
      <c r="U5" t="inlineStr">
        <is>
          <t>Revisado</t>
        </is>
      </c>
      <c r="V5" t="inlineStr">
        <is>
          <t>Factura española con IVA 21%.</t>
        </is>
      </c>
      <c r="W5" t="inlineStr">
        <is>
          <t>004_2T 2026_AUCTANE ES26FC02107187.pdf</t>
        </is>
      </c>
      <c r="X5" t="inlineStr">
        <is>
          <t>Sí</t>
        </is>
      </c>
    </row>
    <row r="6">
      <c r="A6" t="inlineStr">
        <is>
          <t>ANA BELEN FEIJOO VIDUEIRA</t>
        </is>
      </c>
      <c r="B6" t="inlineStr">
        <is>
          <t>34975084L</t>
        </is>
      </c>
      <c r="C6" t="inlineStr">
        <is>
          <t>2T 2026</t>
        </is>
      </c>
      <c r="D6" s="83" t="n">
        <v>46142</v>
      </c>
      <c r="E6" t="inlineStr">
        <is>
          <t>Adeudo TGSS 04/2026</t>
        </is>
      </c>
      <c r="F6" t="inlineStr">
        <is>
          <t>TGSS - R.E. Autónomos</t>
        </is>
      </c>
      <c r="G6" t="inlineStr">
        <is>
          <t>ES75005Q2827003A</t>
        </is>
      </c>
      <c r="H6" t="inlineStr">
        <is>
          <t>España</t>
        </is>
      </c>
      <c r="I6" t="inlineStr">
        <is>
          <t>Cuota autónomos / organismo público</t>
        </is>
      </c>
      <c r="J6" t="inlineStr">
        <is>
          <t>Cotización RETA abril 2026</t>
        </is>
      </c>
      <c r="K6" s="84" t="n">
        <v>299.57</v>
      </c>
      <c r="L6" s="85" t="n">
        <v>0</v>
      </c>
      <c r="M6" s="84" t="n">
        <v>0</v>
      </c>
      <c r="N6" s="84" t="n">
        <v>299.57</v>
      </c>
      <c r="O6" t="inlineStr">
        <is>
          <t>EUR</t>
        </is>
      </c>
      <c r="P6" s="84" t="n">
        <v>299.57</v>
      </c>
      <c r="Q6" s="85" t="n">
        <v>1</v>
      </c>
      <c r="R6" s="85" t="n">
        <v>0</v>
      </c>
      <c r="S6" s="84" t="n">
        <v>0</v>
      </c>
      <c r="T6" t="inlineStr">
        <is>
          <t>Gasto deducible sin IVA</t>
        </is>
      </c>
      <c r="U6" t="inlineStr">
        <is>
          <t>Revisado</t>
        </is>
      </c>
      <c r="V6" t="inlineStr">
        <is>
          <t>Cargo bancario de cuota de autónomos; sin IVA.</t>
        </is>
      </c>
      <c r="W6" t="inlineStr">
        <is>
          <t>005_2T 2026_Autonomos Abril.pdf</t>
        </is>
      </c>
      <c r="X6" t="inlineStr">
        <is>
          <t>Sí</t>
        </is>
      </c>
    </row>
    <row r="7">
      <c r="A7" t="inlineStr">
        <is>
          <t>ANA BELEN FEIJOO VIDUEIRA</t>
        </is>
      </c>
      <c r="B7" t="inlineStr">
        <is>
          <t>34975084L</t>
        </is>
      </c>
      <c r="C7" t="inlineStr">
        <is>
          <t>2T 2026</t>
        </is>
      </c>
      <c r="D7" s="83" t="n">
        <v>46171</v>
      </c>
      <c r="E7" t="inlineStr">
        <is>
          <t>Adeudo TGSS 05/2026</t>
        </is>
      </c>
      <c r="F7" t="inlineStr">
        <is>
          <t>TGSS - R.E. Autónomos</t>
        </is>
      </c>
      <c r="G7" t="inlineStr">
        <is>
          <t>ES75005Q2827003A</t>
        </is>
      </c>
      <c r="H7" t="inlineStr">
        <is>
          <t>España</t>
        </is>
      </c>
      <c r="I7" t="inlineStr">
        <is>
          <t>Cuota autónomos / organismo público</t>
        </is>
      </c>
      <c r="J7" t="inlineStr">
        <is>
          <t>Cotización RETA mayo 2026</t>
        </is>
      </c>
      <c r="K7" s="84" t="n">
        <v>299.57</v>
      </c>
      <c r="L7" s="85" t="n">
        <v>0</v>
      </c>
      <c r="M7" s="84" t="n">
        <v>0</v>
      </c>
      <c r="N7" s="84" t="n">
        <v>299.57</v>
      </c>
      <c r="O7" t="inlineStr">
        <is>
          <t>EUR</t>
        </is>
      </c>
      <c r="P7" s="84" t="n">
        <v>299.57</v>
      </c>
      <c r="Q7" s="85" t="n">
        <v>1</v>
      </c>
      <c r="R7" s="85" t="n">
        <v>0</v>
      </c>
      <c r="S7" s="84" t="n">
        <v>0</v>
      </c>
      <c r="T7" t="inlineStr">
        <is>
          <t>Gasto deducible sin IVA</t>
        </is>
      </c>
      <c r="U7" t="inlineStr">
        <is>
          <t>Revisado</t>
        </is>
      </c>
      <c r="V7" t="inlineStr">
        <is>
          <t>Cargo bancario de cuota de autónomos; sin IVA.</t>
        </is>
      </c>
      <c r="W7" t="inlineStr">
        <is>
          <t>006_2T 2026_Autonomos Mayo.pdf</t>
        </is>
      </c>
      <c r="X7" t="inlineStr">
        <is>
          <t>Sí</t>
        </is>
      </c>
    </row>
    <row r="8">
      <c r="A8" t="inlineStr">
        <is>
          <t>ANA BELEN FEIJOO VIDUEIRA</t>
        </is>
      </c>
      <c r="B8" t="inlineStr">
        <is>
          <t>34975084L</t>
        </is>
      </c>
      <c r="C8" t="inlineStr">
        <is>
          <t>2T 2026</t>
        </is>
      </c>
      <c r="D8" s="83" t="n">
        <v>46081</v>
      </c>
      <c r="E8" t="inlineStr">
        <is>
          <t>BIZPYPT5-0010</t>
        </is>
      </c>
      <c r="F8" t="inlineStr">
        <is>
          <t>OpenAI Ireland Limited</t>
        </is>
      </c>
      <c r="G8" t="inlineStr">
        <is>
          <t>IE4143435AH</t>
        </is>
      </c>
      <c r="H8" t="inlineStr">
        <is>
          <t>Irlanda</t>
        </is>
      </c>
      <c r="I8" t="inlineStr">
        <is>
          <t>Servicio intracomunitario recibido</t>
        </is>
      </c>
      <c r="J8" t="inlineStr">
        <is>
          <t>ChatGPT Plus Subscription</t>
        </is>
      </c>
      <c r="K8" s="84" t="n">
        <v>19.01</v>
      </c>
      <c r="L8" s="85" t="n">
        <v>0</v>
      </c>
      <c r="M8" s="84" t="n">
        <v>0</v>
      </c>
      <c r="N8" s="84" t="n">
        <v>19.01</v>
      </c>
      <c r="O8" t="inlineStr">
        <is>
          <t>EUR</t>
        </is>
      </c>
      <c r="P8" s="84" t="n">
        <v>19.01</v>
      </c>
      <c r="Q8" s="85" t="n">
        <v>1</v>
      </c>
      <c r="R8" s="85" t="n">
        <v>0</v>
      </c>
      <c r="S8" s="84" t="n">
        <v>0</v>
      </c>
      <c r="T8" t="inlineStr">
        <is>
          <t>Servicio intracomunitario con inversión sujeto pasivo</t>
        </is>
      </c>
      <c r="U8" t="inlineStr">
        <is>
          <t>Fuera de periodo 2T</t>
        </is>
      </c>
      <c r="V8" t="inlineStr">
        <is>
          <t>Factura 0% reverse charge. Pertenece a febrero, no a 2T.</t>
        </is>
      </c>
      <c r="W8" t="inlineStr">
        <is>
          <t>007_2T 2026_CHATGPT FERBERO Invoice-BIZPYPT5-0010.pdf</t>
        </is>
      </c>
      <c r="X8" t="inlineStr">
        <is>
          <t>No</t>
        </is>
      </c>
    </row>
    <row r="9">
      <c r="A9" t="inlineStr">
        <is>
          <t>ANA BELEN FEIJOO VIDUEIRA</t>
        </is>
      </c>
      <c r="B9" t="inlineStr">
        <is>
          <t>34975084L</t>
        </is>
      </c>
      <c r="C9" t="inlineStr">
        <is>
          <t>2T 2026</t>
        </is>
      </c>
      <c r="D9" s="83" t="n">
        <v>46079</v>
      </c>
      <c r="E9" t="inlineStr">
        <is>
          <t>FDE174A8-0028</t>
        </is>
      </c>
      <c r="F9" t="inlineStr">
        <is>
          <t>OpenAI OpCo, LLC</t>
        </is>
      </c>
      <c r="G9" t="inlineStr">
        <is>
          <t>EU OSS VAT EU372041333</t>
        </is>
      </c>
      <c r="H9" t="inlineStr">
        <is>
          <t>Estados Unidos / OSS UE</t>
        </is>
      </c>
      <c r="I9" t="inlineStr">
        <is>
          <t>Servicio digital con IVA OSS</t>
        </is>
      </c>
      <c r="J9" t="inlineStr">
        <is>
          <t>ChatGPT Plus Subscription Feb-Mar</t>
        </is>
      </c>
      <c r="K9" s="84" t="n">
        <v>16.95</v>
      </c>
      <c r="L9" s="85" t="n">
        <v>0.21</v>
      </c>
      <c r="M9" s="84" t="n">
        <v>3.56</v>
      </c>
      <c r="N9" s="84" t="n">
        <v>20.51</v>
      </c>
      <c r="O9" t="inlineStr">
        <is>
          <t>USD</t>
        </is>
      </c>
      <c r="P9" s="84" t="n">
        <v>24.2</v>
      </c>
      <c r="Q9" s="85" t="n">
        <v>1</v>
      </c>
      <c r="R9" s="85" t="n">
        <v>0</v>
      </c>
      <c r="S9" s="84" t="n">
        <v>0</v>
      </c>
      <c r="T9" t="inlineStr">
        <is>
          <t>Servicio digital con IVA español vía OSS</t>
        </is>
      </c>
      <c r="U9" t="inlineStr">
        <is>
          <t>Fuera de periodo 2T</t>
        </is>
      </c>
      <c r="V9" t="inlineStr">
        <is>
          <t>Base EUR calculada como IVA EUR / 21% porque solo consta IVA en euros. Revisar soporte de pago/tipo cambio.</t>
        </is>
      </c>
      <c r="W9" t="inlineStr">
        <is>
          <t>008_2T 2026_CHATGPT Invoice-FDE174A8-0028.pdf</t>
        </is>
      </c>
      <c r="X9" t="inlineStr">
        <is>
          <t>No</t>
        </is>
      </c>
    </row>
    <row r="10">
      <c r="A10" t="inlineStr">
        <is>
          <t>ANA BELEN FEIJOO VIDUEIRA</t>
        </is>
      </c>
      <c r="B10" t="inlineStr">
        <is>
          <t>34975084L</t>
        </is>
      </c>
      <c r="C10" t="inlineStr">
        <is>
          <t>2T 2026</t>
        </is>
      </c>
      <c r="D10" s="83" t="n">
        <v>46107</v>
      </c>
      <c r="E10" t="inlineStr">
        <is>
          <t>FDE174A8-0029</t>
        </is>
      </c>
      <c r="F10" t="inlineStr">
        <is>
          <t>OpenAI OpCo, LLC</t>
        </is>
      </c>
      <c r="G10" t="inlineStr">
        <is>
          <t>EU OSS VAT EU372041333</t>
        </is>
      </c>
      <c r="H10" t="inlineStr">
        <is>
          <t>Estados Unidos / OSS UE</t>
        </is>
      </c>
      <c r="I10" t="inlineStr">
        <is>
          <t>Servicio digital con IVA OSS</t>
        </is>
      </c>
      <c r="J10" t="inlineStr">
        <is>
          <t>ChatGPT Plus Subscription Mar-Apr</t>
        </is>
      </c>
      <c r="K10" s="84" t="n">
        <v>17.33</v>
      </c>
      <c r="L10" s="85" t="n">
        <v>0.21</v>
      </c>
      <c r="M10" s="84" t="n">
        <v>3.64</v>
      </c>
      <c r="N10" s="84" t="n">
        <v>20.97</v>
      </c>
      <c r="O10" t="inlineStr">
        <is>
          <t>USD</t>
        </is>
      </c>
      <c r="P10" s="84" t="n">
        <v>24.2</v>
      </c>
      <c r="Q10" s="85" t="n">
        <v>1</v>
      </c>
      <c r="R10" s="85" t="n">
        <v>0</v>
      </c>
      <c r="S10" s="84" t="n">
        <v>0</v>
      </c>
      <c r="T10" t="inlineStr">
        <is>
          <t>Servicio digital con IVA español vía OSS</t>
        </is>
      </c>
      <c r="U10" t="inlineStr">
        <is>
          <t>Fuera de periodo 2T</t>
        </is>
      </c>
      <c r="V10" t="inlineStr">
        <is>
          <t>Base EUR calculada como IVA EUR / 21% porque solo consta IVA en euros. Revisar soporte de pago/tipo cambio.</t>
        </is>
      </c>
      <c r="W10" t="inlineStr">
        <is>
          <t>009_2T 2026_CHATGPT Invoice-FDE174A8-0029.pdf</t>
        </is>
      </c>
      <c r="X10" t="inlineStr">
        <is>
          <t>No</t>
        </is>
      </c>
    </row>
    <row r="11">
      <c r="A11" t="inlineStr">
        <is>
          <t>ANA BELEN FEIJOO VIDUEIRA</t>
        </is>
      </c>
      <c r="B11" t="inlineStr">
        <is>
          <t>34975084L</t>
        </is>
      </c>
      <c r="C11" t="inlineStr">
        <is>
          <t>2T 2026</t>
        </is>
      </c>
      <c r="D11" s="83" t="n">
        <v>46143</v>
      </c>
      <c r="E11" t="inlineStr">
        <is>
          <t>CE261701849</t>
        </is>
      </c>
      <c r="F11" t="inlineStr">
        <is>
          <t>C.I.F.R.A., S.L.</t>
        </is>
      </c>
      <c r="G11" t="inlineStr">
        <is>
          <t>B30668420</t>
        </is>
      </c>
      <c r="H11" t="inlineStr">
        <is>
          <t>España</t>
        </is>
      </c>
      <c r="I11" t="inlineStr">
        <is>
          <t>Compra nacional con IVA</t>
        </is>
      </c>
      <c r="J11" t="inlineStr">
        <is>
          <t>Chaleco reflectante Visibility 600 ud.</t>
        </is>
      </c>
      <c r="K11" s="84" t="n">
        <v>531</v>
      </c>
      <c r="L11" s="85" t="n">
        <v>0.21</v>
      </c>
      <c r="M11" s="84" t="n">
        <v>111.51</v>
      </c>
      <c r="N11" s="84" t="n">
        <v>642.51</v>
      </c>
      <c r="O11" t="inlineStr">
        <is>
          <t>EUR</t>
        </is>
      </c>
      <c r="P11" s="84" t="n">
        <v>642.51</v>
      </c>
      <c r="Q11" s="85" t="n">
        <v>1</v>
      </c>
      <c r="R11" s="85" t="n">
        <v>0</v>
      </c>
      <c r="S11" s="84" t="n">
        <v>0</v>
      </c>
      <c r="T11" t="inlineStr">
        <is>
          <t>Compra mercaderías con IVA soportado</t>
        </is>
      </c>
      <c r="U11" t="inlineStr">
        <is>
          <t>Revisado</t>
        </is>
      </c>
      <c r="V11" t="inlineStr">
        <is>
          <t>Factura nacional con IVA 21%.</t>
        </is>
      </c>
      <c r="W11" t="inlineStr">
        <is>
          <t>010_2T 2026_CIFRA CE261701849.pdf</t>
        </is>
      </c>
      <c r="X11" t="inlineStr">
        <is>
          <t>Sí</t>
        </is>
      </c>
    </row>
    <row r="12">
      <c r="A12" t="inlineStr">
        <is>
          <t>ANA BELEN FEIJOO VIDUEIRA</t>
        </is>
      </c>
      <c r="B12" t="inlineStr">
        <is>
          <t>34975084L</t>
        </is>
      </c>
      <c r="C12" t="inlineStr">
        <is>
          <t>2T 2026</t>
        </is>
      </c>
      <c r="D12" s="83" t="n">
        <v>46156</v>
      </c>
      <c r="E12" t="inlineStr">
        <is>
          <t>CE261704792</t>
        </is>
      </c>
      <c r="F12" t="inlineStr">
        <is>
          <t>C.I.F.R.A., S.L.</t>
        </is>
      </c>
      <c r="G12" t="inlineStr">
        <is>
          <t>B30668420</t>
        </is>
      </c>
      <c r="H12" t="inlineStr">
        <is>
          <t>España</t>
        </is>
      </c>
      <c r="I12" t="inlineStr">
        <is>
          <t>Compra nacional con IVA</t>
        </is>
      </c>
      <c r="J12" t="inlineStr">
        <is>
          <t>Chaleco reflectante Visibility 600 ud.</t>
        </is>
      </c>
      <c r="K12" s="84" t="n">
        <v>531</v>
      </c>
      <c r="L12" s="85" t="n">
        <v>0.21</v>
      </c>
      <c r="M12" s="84" t="n">
        <v>111.51</v>
      </c>
      <c r="N12" s="84" t="n">
        <v>642.51</v>
      </c>
      <c r="O12" t="inlineStr">
        <is>
          <t>EUR</t>
        </is>
      </c>
      <c r="P12" s="84" t="n">
        <v>642.51</v>
      </c>
      <c r="Q12" s="85" t="n">
        <v>1</v>
      </c>
      <c r="R12" s="85" t="n">
        <v>0</v>
      </c>
      <c r="S12" s="84" t="n">
        <v>0</v>
      </c>
      <c r="T12" t="inlineStr">
        <is>
          <t>Compra mercaderías con IVA soportado</t>
        </is>
      </c>
      <c r="U12" t="inlineStr">
        <is>
          <t>Revisado</t>
        </is>
      </c>
      <c r="V12" t="inlineStr">
        <is>
          <t>Factura nacional con IVA 21%.</t>
        </is>
      </c>
      <c r="W12" t="inlineStr">
        <is>
          <t>011_2T 2026_CIFRA CE261704792.pdf</t>
        </is>
      </c>
      <c r="X12" t="inlineStr">
        <is>
          <t>Sí</t>
        </is>
      </c>
    </row>
    <row r="13">
      <c r="A13" t="inlineStr">
        <is>
          <t>ANA BELEN FEIJOO VIDUEIRA</t>
        </is>
      </c>
      <c r="B13" t="inlineStr">
        <is>
          <t>34975084L</t>
        </is>
      </c>
      <c r="C13" t="inlineStr">
        <is>
          <t>2T 2026</t>
        </is>
      </c>
      <c r="D13" s="83" t="n">
        <v>46169</v>
      </c>
      <c r="E13" t="inlineStr">
        <is>
          <t>CE261708106</t>
        </is>
      </c>
      <c r="F13" t="inlineStr">
        <is>
          <t>C.I.F.R.A., S.L.</t>
        </is>
      </c>
      <c r="G13" t="inlineStr">
        <is>
          <t>B30668420</t>
        </is>
      </c>
      <c r="H13" t="inlineStr">
        <is>
          <t>España</t>
        </is>
      </c>
      <c r="I13" t="inlineStr">
        <is>
          <t>Compra nacional con IVA</t>
        </is>
      </c>
      <c r="J13" t="inlineStr">
        <is>
          <t>Chaleco reflectante Visibility 600 ud.</t>
        </is>
      </c>
      <c r="K13" s="84" t="n">
        <v>531</v>
      </c>
      <c r="L13" s="85" t="n">
        <v>0.21</v>
      </c>
      <c r="M13" s="84" t="n">
        <v>111.51</v>
      </c>
      <c r="N13" s="84" t="n">
        <v>642.51</v>
      </c>
      <c r="O13" t="inlineStr">
        <is>
          <t>EUR</t>
        </is>
      </c>
      <c r="P13" s="84" t="n">
        <v>642.51</v>
      </c>
      <c r="Q13" s="85" t="n">
        <v>1</v>
      </c>
      <c r="R13" s="85" t="n">
        <v>0</v>
      </c>
      <c r="S13" s="84" t="n">
        <v>0</v>
      </c>
      <c r="T13" t="inlineStr">
        <is>
          <t>Compra mercaderías con IVA soportado</t>
        </is>
      </c>
      <c r="U13" t="inlineStr">
        <is>
          <t>Revisado</t>
        </is>
      </c>
      <c r="V13" t="inlineStr">
        <is>
          <t>Factura nacional con IVA 21%.</t>
        </is>
      </c>
      <c r="W13" t="inlineStr">
        <is>
          <t>012_2T 2026_CIFRA CE261708106.pdf</t>
        </is>
      </c>
      <c r="X13" t="inlineStr">
        <is>
          <t>Sí</t>
        </is>
      </c>
    </row>
    <row r="14">
      <c r="A14" t="inlineStr">
        <is>
          <t>ANA BELEN FEIJOO VIDUEIRA</t>
        </is>
      </c>
      <c r="B14" t="inlineStr">
        <is>
          <t>34975084L</t>
        </is>
      </c>
      <c r="C14" t="inlineStr">
        <is>
          <t>2T 2026</t>
        </is>
      </c>
      <c r="D14" s="83" t="n">
        <v>46142</v>
      </c>
      <c r="E14" t="inlineStr">
        <is>
          <t>ES-AEU-2026-291575</t>
        </is>
      </c>
      <c r="F14" t="inlineStr">
        <is>
          <t>Amazon EU S.à r.l., Sucursal en España</t>
        </is>
      </c>
      <c r="G14" t="inlineStr">
        <is>
          <t>ESW0184081H</t>
        </is>
      </c>
      <c r="H14" t="inlineStr">
        <is>
          <t>España</t>
        </is>
      </c>
      <c r="I14" t="inlineStr">
        <is>
          <t>Servicio nacional con IVA</t>
        </is>
      </c>
      <c r="J14" t="inlineStr">
        <is>
          <t>Tarifas de logística de Amazon</t>
        </is>
      </c>
      <c r="K14" s="84" t="n">
        <v>5383.74</v>
      </c>
      <c r="L14" s="85" t="n">
        <v>0.21</v>
      </c>
      <c r="M14" s="84" t="n">
        <v>1130.58</v>
      </c>
      <c r="N14" s="84" t="n">
        <v>6514.32</v>
      </c>
      <c r="O14" t="inlineStr">
        <is>
          <t>EUR</t>
        </is>
      </c>
      <c r="P14" s="84" t="n">
        <v>6514.32</v>
      </c>
      <c r="Q14" s="85" t="n">
        <v>1</v>
      </c>
      <c r="R14" s="85" t="n">
        <v>0</v>
      </c>
      <c r="S14" s="84" t="n">
        <v>0</v>
      </c>
      <c r="T14" t="inlineStr">
        <is>
          <t>Gasto con IVA soportado nacional</t>
        </is>
      </c>
      <c r="U14" t="inlineStr">
        <is>
          <t>Revisado</t>
        </is>
      </c>
      <c r="V14" t="inlineStr">
        <is>
          <t>Factura fiscal española con IVA 21%.</t>
        </is>
      </c>
      <c r="W14" t="inlineStr">
        <is>
          <t>013_2T 2026_ES-AEU-2026-291575.pdf</t>
        </is>
      </c>
      <c r="X14" t="inlineStr">
        <is>
          <t>Sí</t>
        </is>
      </c>
    </row>
    <row r="15">
      <c r="A15" t="inlineStr">
        <is>
          <t>ANA BELEN FEIJOO VIDUEIRA</t>
        </is>
      </c>
      <c r="B15" t="inlineStr">
        <is>
          <t>34975084L</t>
        </is>
      </c>
      <c r="C15" t="inlineStr">
        <is>
          <t>2T 2026</t>
        </is>
      </c>
      <c r="D15" s="83" t="n">
        <v>46142</v>
      </c>
      <c r="E15" t="inlineStr">
        <is>
          <t>ES-AEU-2026-291599</t>
        </is>
      </c>
      <c r="F15" t="inlineStr">
        <is>
          <t>Amazon EU S.à r.l., Sucursal en España</t>
        </is>
      </c>
      <c r="G15" t="inlineStr">
        <is>
          <t>ESW0184081H</t>
        </is>
      </c>
      <c r="H15" t="inlineStr">
        <is>
          <t>España</t>
        </is>
      </c>
      <c r="I15" t="inlineStr">
        <is>
          <t>Servicio nacional con IVA</t>
        </is>
      </c>
      <c r="J15" t="inlineStr">
        <is>
          <t>Tarifas de vender en Amazon</t>
        </is>
      </c>
      <c r="K15" s="84" t="n">
        <v>1509.6</v>
      </c>
      <c r="L15" s="85" t="n">
        <v>0.21</v>
      </c>
      <c r="M15" s="84" t="n">
        <v>317.02</v>
      </c>
      <c r="N15" s="84" t="n">
        <v>1826.62</v>
      </c>
      <c r="O15" t="inlineStr">
        <is>
          <t>EUR</t>
        </is>
      </c>
      <c r="P15" s="84" t="n">
        <v>1826.62</v>
      </c>
      <c r="Q15" s="85" t="n">
        <v>1</v>
      </c>
      <c r="R15" s="85" t="n">
        <v>0</v>
      </c>
      <c r="S15" s="84" t="n">
        <v>0</v>
      </c>
      <c r="T15" t="inlineStr">
        <is>
          <t>Gasto con IVA soportado nacional</t>
        </is>
      </c>
      <c r="U15" t="inlineStr">
        <is>
          <t>Revisado</t>
        </is>
      </c>
      <c r="V15" t="inlineStr">
        <is>
          <t>Factura fiscal española con IVA 21%.</t>
        </is>
      </c>
      <c r="W15" t="inlineStr">
        <is>
          <t>014_2T 2026_ES-AEU-2026-291599.pdf</t>
        </is>
      </c>
      <c r="X15" t="inlineStr">
        <is>
          <t>Sí</t>
        </is>
      </c>
    </row>
    <row r="16">
      <c r="A16" t="inlineStr">
        <is>
          <t>ANA BELEN FEIJOO VIDUEIRA</t>
        </is>
      </c>
      <c r="B16" t="inlineStr">
        <is>
          <t>34975084L</t>
        </is>
      </c>
      <c r="C16" t="inlineStr">
        <is>
          <t>2T 2026</t>
        </is>
      </c>
      <c r="D16" s="83" t="n">
        <v>46142</v>
      </c>
      <c r="E16" t="inlineStr">
        <is>
          <t>ES-AEU-2026-317327</t>
        </is>
      </c>
      <c r="F16" t="inlineStr">
        <is>
          <t>Amazon EU S.à r.l., Sucursal en España</t>
        </is>
      </c>
      <c r="G16" t="inlineStr">
        <is>
          <t>ESW0184081H</t>
        </is>
      </c>
      <c r="H16" t="inlineStr">
        <is>
          <t>España</t>
        </is>
      </c>
      <c r="I16" t="inlineStr">
        <is>
          <t>Servicio nacional con IVA</t>
        </is>
      </c>
      <c r="J16" t="inlineStr">
        <is>
          <t>Frais d'expédition / gastos de envío por Amazon</t>
        </is>
      </c>
      <c r="K16" s="88" t="n">
        <v>305.46</v>
      </c>
      <c r="L16" s="89" t="n">
        <v>0.21</v>
      </c>
      <c r="M16" s="88" t="n">
        <v>64.15000000000001</v>
      </c>
      <c r="N16" s="88" t="n">
        <v>369.61</v>
      </c>
      <c r="O16" t="inlineStr">
        <is>
          <t>EUR</t>
        </is>
      </c>
      <c r="P16" s="88" t="n">
        <v>369.61</v>
      </c>
      <c r="Q16" s="88" t="n">
        <v>1</v>
      </c>
      <c r="R16" s="88" t="n">
        <v>0</v>
      </c>
      <c r="S16" s="88" t="n">
        <v>0</v>
      </c>
      <c r="T16" t="inlineStr">
        <is>
          <t>Gasto con IVA soportado nacional</t>
        </is>
      </c>
      <c r="U16" t="inlineStr">
        <is>
          <t>Revisado</t>
        </is>
      </c>
      <c r="V16" t="inlineStr">
        <is>
          <t>Factura en francés, proveedor con sucursal en España e IVA 21%.</t>
        </is>
      </c>
      <c r="W16" t="inlineStr">
        <is>
          <t>015_2T 2026_ES-AEU-2026-317327.pdf</t>
        </is>
      </c>
      <c r="X16" t="inlineStr">
        <is>
          <t>Sí</t>
        </is>
      </c>
    </row>
    <row r="17">
      <c r="A17" t="inlineStr">
        <is>
          <t>ANA BELEN FEIJOO VIDUEIRA</t>
        </is>
      </c>
      <c r="B17" t="inlineStr">
        <is>
          <t>34975084L</t>
        </is>
      </c>
      <c r="C17" t="inlineStr">
        <is>
          <t>2T 2026</t>
        </is>
      </c>
      <c r="D17" s="83" t="n">
        <v>46142</v>
      </c>
      <c r="E17" t="inlineStr">
        <is>
          <t>ES-AEU-2026-317330</t>
        </is>
      </c>
      <c r="F17" t="inlineStr">
        <is>
          <t>Amazon EU S.à r.l., Sucursal en España</t>
        </is>
      </c>
      <c r="G17" t="inlineStr">
        <is>
          <t>ESW0184081H</t>
        </is>
      </c>
      <c r="H17" t="inlineStr">
        <is>
          <t>España</t>
        </is>
      </c>
      <c r="I17" t="inlineStr">
        <is>
          <t>Servicio nacional con IVA</t>
        </is>
      </c>
      <c r="J17" t="inlineStr">
        <is>
          <t>Frais de vente / tarifas de venta en Amazon</t>
        </is>
      </c>
      <c r="K17" s="88" t="n">
        <v>60.35</v>
      </c>
      <c r="L17" s="89" t="n">
        <v>0.21</v>
      </c>
      <c r="M17" s="88" t="n">
        <v>12.67</v>
      </c>
      <c r="N17" s="88" t="n">
        <v>73.02</v>
      </c>
      <c r="O17" t="inlineStr">
        <is>
          <t>EUR</t>
        </is>
      </c>
      <c r="P17" s="88" t="n">
        <v>73.02</v>
      </c>
      <c r="Q17" s="88" t="n">
        <v>1</v>
      </c>
      <c r="R17" s="88" t="n">
        <v>0</v>
      </c>
      <c r="S17" s="88" t="n">
        <v>0</v>
      </c>
      <c r="T17" t="inlineStr">
        <is>
          <t>Gasto con IVA soportado nacional</t>
        </is>
      </c>
      <c r="U17" t="inlineStr">
        <is>
          <t>Revisado</t>
        </is>
      </c>
      <c r="V17" t="inlineStr">
        <is>
          <t>Factura en francés, proveedor con sucursal en España e IVA 21%.</t>
        </is>
      </c>
      <c r="W17" t="inlineStr">
        <is>
          <t>016_2T 2026_ES-AEU-2026-317330.pdf</t>
        </is>
      </c>
      <c r="X17" t="inlineStr">
        <is>
          <t>Sí</t>
        </is>
      </c>
    </row>
    <row r="18">
      <c r="A18" t="inlineStr">
        <is>
          <t>ANA BELEN FEIJOO VIDUEIRA</t>
        </is>
      </c>
      <c r="B18" t="inlineStr">
        <is>
          <t>34975084L</t>
        </is>
      </c>
      <c r="C18" t="inlineStr">
        <is>
          <t>2T 2026</t>
        </is>
      </c>
      <c r="D18" s="83" t="n">
        <v>46142</v>
      </c>
      <c r="E18" t="inlineStr">
        <is>
          <t>ES-AEU-2026-320887</t>
        </is>
      </c>
      <c r="F18" t="inlineStr">
        <is>
          <t>Amazon EU S.à r.l., Sucursal en España</t>
        </is>
      </c>
      <c r="G18" t="inlineStr">
        <is>
          <t>ESW0184081H</t>
        </is>
      </c>
      <c r="H18" t="inlineStr">
        <is>
          <t>España</t>
        </is>
      </c>
      <c r="I18" t="inlineStr">
        <is>
          <t>Servicio nacional sin IVA / exento</t>
        </is>
      </c>
      <c r="J18" t="inlineStr">
        <is>
          <t>Tarifas de logística de Amazon</t>
        </is>
      </c>
      <c r="K18" s="88" t="n">
        <v>26.65</v>
      </c>
      <c r="L18" s="89" t="n">
        <v>0</v>
      </c>
      <c r="M18" s="88" t="n">
        <v>0</v>
      </c>
      <c r="N18" s="88" t="n">
        <v>26.65</v>
      </c>
      <c r="O18" t="inlineStr">
        <is>
          <t>EUR</t>
        </is>
      </c>
      <c r="P18" s="88" t="n">
        <v>26.65</v>
      </c>
      <c r="Q18" s="88" t="n">
        <v>1</v>
      </c>
      <c r="R18" s="88" t="n">
        <v>0</v>
      </c>
      <c r="S18" s="88" t="n">
        <v>0</v>
      </c>
      <c r="T18" t="inlineStr">
        <is>
          <t>Operación no sujeta/exenta sin IVA</t>
        </is>
      </c>
      <c r="U18" t="inlineStr">
        <is>
          <t>Pendiente de revisión</t>
        </is>
      </c>
      <c r="V18" t="inlineStr">
        <is>
          <t>Factura Amazon al 0% con referencia a art. 69, 21.5º y 64 LIVA; revisar clasificación/casillas.</t>
        </is>
      </c>
      <c r="W18" t="inlineStr">
        <is>
          <t>017_2T 2026_ES-AEU-2026-320887.pdf</t>
        </is>
      </c>
      <c r="X18" t="inlineStr">
        <is>
          <t>Sí</t>
        </is>
      </c>
    </row>
    <row r="19">
      <c r="A19" t="inlineStr">
        <is>
          <t>ANA BELEN FEIJOO VIDUEIRA</t>
        </is>
      </c>
      <c r="B19" t="inlineStr">
        <is>
          <t>34975084L</t>
        </is>
      </c>
      <c r="C19" t="inlineStr">
        <is>
          <t>2T 2026</t>
        </is>
      </c>
      <c r="D19" s="83" t="n">
        <v>46142</v>
      </c>
      <c r="E19" t="inlineStr">
        <is>
          <t>ES-AEU-2026-323426</t>
        </is>
      </c>
      <c r="F19" t="inlineStr">
        <is>
          <t>Amazon EU S.à r.l., Sucursal en España</t>
        </is>
      </c>
      <c r="G19" t="inlineStr">
        <is>
          <t>ESW0184081H</t>
        </is>
      </c>
      <c r="H19" t="inlineStr">
        <is>
          <t>España</t>
        </is>
      </c>
      <c r="I19" t="inlineStr">
        <is>
          <t>Servicio nacional con IVA</t>
        </is>
      </c>
      <c r="J19" t="inlineStr">
        <is>
          <t>Commissioni di Logistica di Amazon</t>
        </is>
      </c>
      <c r="K19" s="88" t="n">
        <v>39.94</v>
      </c>
      <c r="L19" s="89" t="n">
        <v>0.21</v>
      </c>
      <c r="M19" s="88" t="n">
        <v>8.390000000000001</v>
      </c>
      <c r="N19" s="88" t="n">
        <v>48.33</v>
      </c>
      <c r="O19" t="inlineStr">
        <is>
          <t>EUR</t>
        </is>
      </c>
      <c r="P19" s="88" t="n">
        <v>48.33</v>
      </c>
      <c r="Q19" s="88" t="n">
        <v>1</v>
      </c>
      <c r="R19" s="88" t="n">
        <v>0</v>
      </c>
      <c r="S19" s="88" t="n">
        <v>0</v>
      </c>
      <c r="T19" t="inlineStr">
        <is>
          <t>Gasto con IVA soportado nacional</t>
        </is>
      </c>
      <c r="U19" t="inlineStr">
        <is>
          <t>Revisado</t>
        </is>
      </c>
      <c r="V19" t="inlineStr">
        <is>
          <t>Factura en italiano, proveedor con sucursal en España e IVA 21%.</t>
        </is>
      </c>
      <c r="W19" t="inlineStr">
        <is>
          <t>018_2T 2026_ES-AEU-2026-323426.pdf</t>
        </is>
      </c>
      <c r="X19" t="inlineStr">
        <is>
          <t>Sí</t>
        </is>
      </c>
    </row>
    <row r="20">
      <c r="A20" t="inlineStr">
        <is>
          <t>ANA BELEN FEIJOO VIDUEIRA</t>
        </is>
      </c>
      <c r="B20" t="inlineStr">
        <is>
          <t>34975084L</t>
        </is>
      </c>
      <c r="C20" t="inlineStr">
        <is>
          <t>2T 2026</t>
        </is>
      </c>
      <c r="D20" s="83" t="n">
        <v>46142</v>
      </c>
      <c r="E20" t="inlineStr">
        <is>
          <t>ES-AEU-2026-323427</t>
        </is>
      </c>
      <c r="F20" t="inlineStr">
        <is>
          <t>Amazon EU S.à r.l., Sucursal en España</t>
        </is>
      </c>
      <c r="G20" t="inlineStr">
        <is>
          <t>ESW0184081H</t>
        </is>
      </c>
      <c r="H20" t="inlineStr">
        <is>
          <t>España</t>
        </is>
      </c>
      <c r="I20" t="inlineStr">
        <is>
          <t>Servicio nacional con IVA</t>
        </is>
      </c>
      <c r="J20" t="inlineStr">
        <is>
          <t>Commissioni di vendita su Amazon</t>
        </is>
      </c>
      <c r="K20" s="88" t="n">
        <v>10.79</v>
      </c>
      <c r="L20" s="89" t="n">
        <v>0.21</v>
      </c>
      <c r="M20" s="88" t="n">
        <v>2.26</v>
      </c>
      <c r="N20" s="88" t="n">
        <v>13.05</v>
      </c>
      <c r="O20" t="inlineStr">
        <is>
          <t>EUR</t>
        </is>
      </c>
      <c r="P20" s="88" t="n">
        <v>13.05</v>
      </c>
      <c r="Q20" s="88" t="n">
        <v>1</v>
      </c>
      <c r="R20" s="88" t="n">
        <v>0</v>
      </c>
      <c r="S20" s="88" t="n">
        <v>0</v>
      </c>
      <c r="T20" t="inlineStr">
        <is>
          <t>Gasto con IVA soportado nacional</t>
        </is>
      </c>
      <c r="U20" t="inlineStr">
        <is>
          <t>Revisado</t>
        </is>
      </c>
      <c r="V20" t="inlineStr">
        <is>
          <t>Factura en italiano, proveedor con sucursal en España e IVA 21%.</t>
        </is>
      </c>
      <c r="W20" t="inlineStr">
        <is>
          <t>019_2T 2026_ES-AEU-2026-323427.pdf</t>
        </is>
      </c>
      <c r="X20" t="inlineStr">
        <is>
          <t>Sí</t>
        </is>
      </c>
    </row>
    <row r="21">
      <c r="A21" t="inlineStr">
        <is>
          <t>ANA BELEN FEIJOO VIDUEIRA</t>
        </is>
      </c>
      <c r="B21" t="inlineStr">
        <is>
          <t>34975084L</t>
        </is>
      </c>
      <c r="C21" t="inlineStr">
        <is>
          <t>2T 2026</t>
        </is>
      </c>
      <c r="D21" s="83" t="n">
        <v>46142</v>
      </c>
      <c r="E21" t="inlineStr">
        <is>
          <t>ES-AEU-2026-342543</t>
        </is>
      </c>
      <c r="F21" t="inlineStr">
        <is>
          <t>Amazon EU S.à r.l., Sucursal en España</t>
        </is>
      </c>
      <c r="G21" t="inlineStr">
        <is>
          <t>ESW0184081H</t>
        </is>
      </c>
      <c r="H21" t="inlineStr">
        <is>
          <t>España</t>
        </is>
      </c>
      <c r="I21" t="inlineStr">
        <is>
          <t>Servicio nacional con IVA</t>
        </is>
      </c>
      <c r="J21" t="inlineStr">
        <is>
          <t>Gebühren im Zusammenhang mit Versand durch Amazon</t>
        </is>
      </c>
      <c r="K21" s="88" t="n">
        <v>8.300000000000001</v>
      </c>
      <c r="L21" s="89" t="n">
        <v>0.21</v>
      </c>
      <c r="M21" s="88" t="n">
        <v>1.74</v>
      </c>
      <c r="N21" s="88" t="n">
        <v>10.04</v>
      </c>
      <c r="O21" t="inlineStr">
        <is>
          <t>EUR</t>
        </is>
      </c>
      <c r="P21" s="88" t="n">
        <v>10.04</v>
      </c>
      <c r="Q21" s="88" t="n">
        <v>1</v>
      </c>
      <c r="R21" s="88" t="n">
        <v>0</v>
      </c>
      <c r="S21" s="88" t="n">
        <v>0</v>
      </c>
      <c r="T21" t="inlineStr">
        <is>
          <t>Gasto con IVA soportado nacional</t>
        </is>
      </c>
      <c r="U21" t="inlineStr">
        <is>
          <t>Revisado</t>
        </is>
      </c>
      <c r="V21" t="inlineStr">
        <is>
          <t>Factura en alemán, proveedor con sucursal en España e IVA 21%.</t>
        </is>
      </c>
      <c r="W21" t="inlineStr">
        <is>
          <t>020_2T 2026_ES-AEU-2026-342543.pdf</t>
        </is>
      </c>
      <c r="X21" t="inlineStr">
        <is>
          <t>Sí</t>
        </is>
      </c>
    </row>
    <row r="22">
      <c r="A22" t="inlineStr">
        <is>
          <t>ANA BELEN FEIJOO VIDUEIRA</t>
        </is>
      </c>
      <c r="B22" t="inlineStr">
        <is>
          <t>34975084L</t>
        </is>
      </c>
      <c r="C22" t="inlineStr">
        <is>
          <t>2T 2026</t>
        </is>
      </c>
      <c r="D22" s="83" t="n">
        <v>46173</v>
      </c>
      <c r="E22" t="inlineStr">
        <is>
          <t>ES-AEU-2026-391494</t>
        </is>
      </c>
      <c r="F22" t="inlineStr">
        <is>
          <t>Amazon EU S.à r.l., Sucursal en España</t>
        </is>
      </c>
      <c r="G22" t="inlineStr">
        <is>
          <t>ESW0184081H</t>
        </is>
      </c>
      <c r="H22" t="inlineStr">
        <is>
          <t>España</t>
        </is>
      </c>
      <c r="I22" t="inlineStr">
        <is>
          <t>Servicio nacional con IVA</t>
        </is>
      </c>
      <c r="J22" t="inlineStr">
        <is>
          <t>Tarifas de logística de Amazon</t>
        </is>
      </c>
      <c r="K22" s="88" t="n">
        <v>5861.75</v>
      </c>
      <c r="L22" s="89" t="n">
        <v>0.21</v>
      </c>
      <c r="M22" s="88" t="n">
        <v>1230.97</v>
      </c>
      <c r="N22" s="88" t="n">
        <v>7092.72</v>
      </c>
      <c r="O22" t="inlineStr">
        <is>
          <t>EUR</t>
        </is>
      </c>
      <c r="P22" s="88" t="n">
        <v>7092.72</v>
      </c>
      <c r="Q22" s="88" t="n">
        <v>1</v>
      </c>
      <c r="R22" s="88" t="n">
        <v>0</v>
      </c>
      <c r="S22" s="88" t="n">
        <v>0</v>
      </c>
      <c r="T22" t="inlineStr">
        <is>
          <t>Gasto con IVA soportado nacional</t>
        </is>
      </c>
      <c r="U22" t="inlineStr">
        <is>
          <t>Revisado</t>
        </is>
      </c>
      <c r="V22" t="inlineStr">
        <is>
          <t>Factura fiscal española con IVA 21%.</t>
        </is>
      </c>
      <c r="W22" t="inlineStr">
        <is>
          <t>021_2T 2026_ES-AEU-2026-391494.pdf</t>
        </is>
      </c>
      <c r="X22" t="inlineStr">
        <is>
          <t>Sí</t>
        </is>
      </c>
    </row>
    <row r="23">
      <c r="A23" t="inlineStr">
        <is>
          <t>ANA BELEN FEIJOO VIDUEIRA</t>
        </is>
      </c>
      <c r="B23" t="inlineStr">
        <is>
          <t>34975084L</t>
        </is>
      </c>
      <c r="C23" t="inlineStr">
        <is>
          <t>2T 2026</t>
        </is>
      </c>
      <c r="D23" s="83" t="n">
        <v>46173</v>
      </c>
      <c r="E23" t="inlineStr">
        <is>
          <t>ES-AEU-2026-391495</t>
        </is>
      </c>
      <c r="F23" t="inlineStr">
        <is>
          <t>Amazon EU S.à r.l., Sucursal en España</t>
        </is>
      </c>
      <c r="G23" t="inlineStr">
        <is>
          <t>ESW0184081H</t>
        </is>
      </c>
      <c r="H23" t="inlineStr">
        <is>
          <t>España</t>
        </is>
      </c>
      <c r="I23" t="inlineStr">
        <is>
          <t>Servicio nacional con IVA</t>
        </is>
      </c>
      <c r="J23" t="inlineStr">
        <is>
          <t>Tarifas de vender en Amazon</t>
        </is>
      </c>
      <c r="K23" s="88" t="n">
        <v>1723.55</v>
      </c>
      <c r="L23" s="89" t="n">
        <v>0.21</v>
      </c>
      <c r="M23" s="88" t="n">
        <v>361.95</v>
      </c>
      <c r="N23" s="88" t="n">
        <v>2085.5</v>
      </c>
      <c r="O23" t="inlineStr">
        <is>
          <t>EUR</t>
        </is>
      </c>
      <c r="P23" s="88" t="n">
        <v>2085.5</v>
      </c>
      <c r="Q23" s="88" t="n">
        <v>1</v>
      </c>
      <c r="R23" s="88" t="n">
        <v>0</v>
      </c>
      <c r="S23" s="88" t="n">
        <v>0</v>
      </c>
      <c r="T23" t="inlineStr">
        <is>
          <t>Gasto con IVA soportado nacional</t>
        </is>
      </c>
      <c r="U23" t="inlineStr">
        <is>
          <t>Revisado</t>
        </is>
      </c>
      <c r="V23" t="inlineStr">
        <is>
          <t>Factura fiscal española con IVA 21%.</t>
        </is>
      </c>
      <c r="W23" t="inlineStr">
        <is>
          <t>022_2T 2026_ES-AEU-2026-391495.pdf</t>
        </is>
      </c>
      <c r="X23" t="inlineStr">
        <is>
          <t>Sí</t>
        </is>
      </c>
    </row>
    <row r="24">
      <c r="A24" t="inlineStr">
        <is>
          <t>ANA BELEN FEIJOO VIDUEIRA</t>
        </is>
      </c>
      <c r="B24" t="inlineStr">
        <is>
          <t>34975084L</t>
        </is>
      </c>
      <c r="C24" t="inlineStr">
        <is>
          <t>2T 2026</t>
        </is>
      </c>
      <c r="D24" s="83" t="n">
        <v>46173</v>
      </c>
      <c r="E24" t="inlineStr">
        <is>
          <t>ES-AEU-2026-394164</t>
        </is>
      </c>
      <c r="F24" t="inlineStr">
        <is>
          <t>Amazon EU S.à r.l., Sucursal en España</t>
        </is>
      </c>
      <c r="G24" t="inlineStr">
        <is>
          <t>ESW0184081H</t>
        </is>
      </c>
      <c r="H24" t="inlineStr">
        <is>
          <t>España</t>
        </is>
      </c>
      <c r="I24" t="inlineStr">
        <is>
          <t>Servicio nacional con IVA</t>
        </is>
      </c>
      <c r="J24" t="inlineStr">
        <is>
          <t>Frais d'expédition / gastos de envío por Amazon</t>
        </is>
      </c>
      <c r="K24" s="88" t="n">
        <v>539.84</v>
      </c>
      <c r="L24" s="89" t="n">
        <v>0.21</v>
      </c>
      <c r="M24" s="88" t="n">
        <v>113.37</v>
      </c>
      <c r="N24" s="88" t="n">
        <v>653.21</v>
      </c>
      <c r="O24" t="inlineStr">
        <is>
          <t>EUR</t>
        </is>
      </c>
      <c r="P24" s="88" t="n">
        <v>653.21</v>
      </c>
      <c r="Q24" s="88" t="n">
        <v>1</v>
      </c>
      <c r="R24" s="88" t="n">
        <v>0</v>
      </c>
      <c r="S24" s="88" t="n">
        <v>0</v>
      </c>
      <c r="T24" t="inlineStr">
        <is>
          <t>Gasto con IVA soportado nacional</t>
        </is>
      </c>
      <c r="U24" t="inlineStr">
        <is>
          <t>Revisado</t>
        </is>
      </c>
      <c r="V24" t="inlineStr">
        <is>
          <t>Factura en francés, proveedor con sucursal en España e IVA 21%.</t>
        </is>
      </c>
      <c r="W24" t="inlineStr">
        <is>
          <t>023_2T 2026_ES-AEU-2026-394164.pdf</t>
        </is>
      </c>
      <c r="X24" t="inlineStr">
        <is>
          <t>Sí</t>
        </is>
      </c>
    </row>
    <row r="25">
      <c r="A25" t="inlineStr">
        <is>
          <t>ANA BELEN FEIJOO VIDUEIRA</t>
        </is>
      </c>
      <c r="B25" t="inlineStr">
        <is>
          <t>34975084L</t>
        </is>
      </c>
      <c r="C25" t="inlineStr">
        <is>
          <t>2T 2026</t>
        </is>
      </c>
      <c r="D25" s="83" t="n">
        <v>46173</v>
      </c>
      <c r="E25" t="inlineStr">
        <is>
          <t>ES-AEU-2026-394176</t>
        </is>
      </c>
      <c r="F25" t="inlineStr">
        <is>
          <t>Amazon EU S.à r.l., Sucursal en España</t>
        </is>
      </c>
      <c r="G25" t="inlineStr">
        <is>
          <t>ESW0184081H</t>
        </is>
      </c>
      <c r="H25" t="inlineStr">
        <is>
          <t>España</t>
        </is>
      </c>
      <c r="I25" t="inlineStr">
        <is>
          <t>Servicio nacional con IVA</t>
        </is>
      </c>
      <c r="J25" t="inlineStr">
        <is>
          <t>Frais de vente / tarifas de venta en Amazon</t>
        </is>
      </c>
      <c r="K25" s="88" t="n">
        <v>109.26</v>
      </c>
      <c r="L25" s="89" t="n">
        <v>0.21</v>
      </c>
      <c r="M25" s="88" t="n">
        <v>22.94</v>
      </c>
      <c r="N25" s="88" t="n">
        <v>132.2</v>
      </c>
      <c r="O25" t="inlineStr">
        <is>
          <t>EUR</t>
        </is>
      </c>
      <c r="P25" s="88" t="n">
        <v>132.2</v>
      </c>
      <c r="Q25" s="88" t="n">
        <v>1</v>
      </c>
      <c r="R25" s="88" t="n">
        <v>0</v>
      </c>
      <c r="S25" s="88" t="n">
        <v>0</v>
      </c>
      <c r="T25" t="inlineStr">
        <is>
          <t>Gasto con IVA soportado nacional</t>
        </is>
      </c>
      <c r="U25" t="inlineStr">
        <is>
          <t>Revisado</t>
        </is>
      </c>
      <c r="V25" t="inlineStr">
        <is>
          <t>Factura en francés, proveedor con sucursal en España e IVA 21%.</t>
        </is>
      </c>
      <c r="W25" t="inlineStr">
        <is>
          <t>024_2T 2026_ES-AEU-2026-394176.pdf</t>
        </is>
      </c>
      <c r="X25" t="inlineStr">
        <is>
          <t>Sí</t>
        </is>
      </c>
    </row>
    <row r="26">
      <c r="A26" t="inlineStr">
        <is>
          <t>ANA BELEN FEIJOO VIDUEIRA</t>
        </is>
      </c>
      <c r="B26" t="inlineStr">
        <is>
          <t>34975084L</t>
        </is>
      </c>
      <c r="C26" t="inlineStr">
        <is>
          <t>2T 2026</t>
        </is>
      </c>
      <c r="D26" s="83" t="n">
        <v>46173</v>
      </c>
      <c r="E26" t="inlineStr">
        <is>
          <t>ES-AEU-2026-412061</t>
        </is>
      </c>
      <c r="F26" t="inlineStr">
        <is>
          <t>Amazon EU S.à r.l., Sucursal en España</t>
        </is>
      </c>
      <c r="G26" t="inlineStr">
        <is>
          <t>ESW0184081H</t>
        </is>
      </c>
      <c r="H26" t="inlineStr">
        <is>
          <t>España</t>
        </is>
      </c>
      <c r="I26" t="inlineStr">
        <is>
          <t>Servicio nacional con IVA</t>
        </is>
      </c>
      <c r="J26" t="inlineStr">
        <is>
          <t>Commissioni di Logistica di Amazon</t>
        </is>
      </c>
      <c r="K26" s="88" t="n">
        <v>69.75</v>
      </c>
      <c r="L26" s="89" t="n">
        <v>0.21</v>
      </c>
      <c r="M26" s="88" t="n">
        <v>14.65</v>
      </c>
      <c r="N26" s="88" t="n">
        <v>84.40000000000001</v>
      </c>
      <c r="O26" t="inlineStr">
        <is>
          <t>EUR</t>
        </is>
      </c>
      <c r="P26" s="88" t="n">
        <v>84.40000000000001</v>
      </c>
      <c r="Q26" s="88" t="n">
        <v>1</v>
      </c>
      <c r="R26" s="88" t="n">
        <v>0</v>
      </c>
      <c r="S26" s="88" t="n">
        <v>0</v>
      </c>
      <c r="T26" t="inlineStr">
        <is>
          <t>Gasto con IVA soportado nacional</t>
        </is>
      </c>
      <c r="U26" t="inlineStr">
        <is>
          <t>Revisado</t>
        </is>
      </c>
      <c r="V26" t="inlineStr">
        <is>
          <t>Factura en italiano, proveedor con sucursal en España e IVA 21%.</t>
        </is>
      </c>
      <c r="W26" t="inlineStr">
        <is>
          <t>025_2T 2026_ES-AEU-2026-412061.pdf</t>
        </is>
      </c>
      <c r="X26" t="inlineStr">
        <is>
          <t>Sí</t>
        </is>
      </c>
    </row>
    <row r="27">
      <c r="A27" t="inlineStr">
        <is>
          <t>ANA BELEN FEIJOO VIDUEIRA</t>
        </is>
      </c>
      <c r="B27" t="inlineStr">
        <is>
          <t>34975084L</t>
        </is>
      </c>
      <c r="C27" t="inlineStr">
        <is>
          <t>2T 2026</t>
        </is>
      </c>
      <c r="D27" s="83" t="n">
        <v>46173</v>
      </c>
      <c r="E27" t="inlineStr">
        <is>
          <t>ES-AEU-2026-412065</t>
        </is>
      </c>
      <c r="F27" t="inlineStr">
        <is>
          <t>Amazon EU S.à r.l., Sucursal en España</t>
        </is>
      </c>
      <c r="G27" t="inlineStr">
        <is>
          <t>ESW0184081H</t>
        </is>
      </c>
      <c r="H27" t="inlineStr">
        <is>
          <t>España</t>
        </is>
      </c>
      <c r="I27" t="inlineStr">
        <is>
          <t>Servicio nacional con IVA</t>
        </is>
      </c>
      <c r="J27" t="inlineStr">
        <is>
          <t>Commissioni di vendita su Amazon</t>
        </is>
      </c>
      <c r="K27" s="88" t="n">
        <v>16.43</v>
      </c>
      <c r="L27" s="89" t="n">
        <v>0.21</v>
      </c>
      <c r="M27" s="88" t="n">
        <v>3.45</v>
      </c>
      <c r="N27" s="88" t="n">
        <v>19.88</v>
      </c>
      <c r="O27" t="inlineStr">
        <is>
          <t>EUR</t>
        </is>
      </c>
      <c r="P27" s="88" t="n">
        <v>19.88</v>
      </c>
      <c r="Q27" s="88" t="n">
        <v>1</v>
      </c>
      <c r="R27" s="88" t="n">
        <v>0</v>
      </c>
      <c r="S27" s="88" t="n">
        <v>0</v>
      </c>
      <c r="T27" t="inlineStr">
        <is>
          <t>Gasto con IVA soportado nacional</t>
        </is>
      </c>
      <c r="U27" t="inlineStr">
        <is>
          <t>Revisado</t>
        </is>
      </c>
      <c r="V27" t="inlineStr">
        <is>
          <t>Factura en italiano, proveedor con sucursal en España e IVA 21%.</t>
        </is>
      </c>
      <c r="W27" t="inlineStr">
        <is>
          <t>026_2T 2026_ES-AEU-2026-412065.pdf</t>
        </is>
      </c>
      <c r="X27" t="inlineStr">
        <is>
          <t>Sí</t>
        </is>
      </c>
    </row>
    <row r="28">
      <c r="A28" t="inlineStr">
        <is>
          <t>ANA BELEN FEIJOO VIDUEIRA</t>
        </is>
      </c>
      <c r="B28" t="inlineStr">
        <is>
          <t>34975084L</t>
        </is>
      </c>
      <c r="C28" t="inlineStr">
        <is>
          <t>2T 2026</t>
        </is>
      </c>
      <c r="D28" s="83" t="n">
        <v>46173</v>
      </c>
      <c r="E28" t="inlineStr">
        <is>
          <t>ES-AEU-2026-446939</t>
        </is>
      </c>
      <c r="F28" t="inlineStr">
        <is>
          <t>Amazon EU S.à r.l., Sucursal en España</t>
        </is>
      </c>
      <c r="G28" t="inlineStr">
        <is>
          <t>ESW0184081H</t>
        </is>
      </c>
      <c r="H28" t="inlineStr">
        <is>
          <t>España</t>
        </is>
      </c>
      <c r="I28" t="inlineStr">
        <is>
          <t>Servicio nacional con IVA</t>
        </is>
      </c>
      <c r="J28" t="inlineStr">
        <is>
          <t>Gebühren im Zusammenhang mit Versand durch Amazon</t>
        </is>
      </c>
      <c r="K28" s="88" t="n">
        <v>4.31</v>
      </c>
      <c r="L28" s="89" t="n">
        <v>0.21</v>
      </c>
      <c r="M28" s="88" t="n">
        <v>0.91</v>
      </c>
      <c r="N28" s="88" t="n">
        <v>5.22</v>
      </c>
      <c r="O28" t="inlineStr">
        <is>
          <t>EUR</t>
        </is>
      </c>
      <c r="P28" s="88" t="n">
        <v>5.22</v>
      </c>
      <c r="Q28" s="88" t="n">
        <v>1</v>
      </c>
      <c r="R28" s="88" t="n">
        <v>0</v>
      </c>
      <c r="S28" s="88" t="n">
        <v>0</v>
      </c>
      <c r="T28" t="inlineStr">
        <is>
          <t>Gasto con IVA soportado nacional</t>
        </is>
      </c>
      <c r="U28" t="inlineStr">
        <is>
          <t>Revisado</t>
        </is>
      </c>
      <c r="V28" t="inlineStr">
        <is>
          <t>Factura en alemán, proveedor con sucursal en España e IVA 21%.</t>
        </is>
      </c>
      <c r="W28" t="inlineStr">
        <is>
          <t>027_2T 2026_ES-AEU-2026-446939.pdf</t>
        </is>
      </c>
      <c r="X28" t="inlineStr">
        <is>
          <t>Sí</t>
        </is>
      </c>
    </row>
    <row r="29">
      <c r="A29" t="inlineStr">
        <is>
          <t>ANA BELEN FEIJOO VIDUEIRA</t>
        </is>
      </c>
      <c r="B29" t="inlineStr">
        <is>
          <t>34975084L</t>
        </is>
      </c>
      <c r="C29" t="inlineStr">
        <is>
          <t>2T 2026</t>
        </is>
      </c>
      <c r="D29" s="83" t="n">
        <v>46173</v>
      </c>
      <c r="E29" t="inlineStr">
        <is>
          <t>ES-AEU-2026-463539</t>
        </is>
      </c>
      <c r="F29" t="inlineStr">
        <is>
          <t>Amazon EU S.à r.l., Sucursal en España</t>
        </is>
      </c>
      <c r="G29" t="inlineStr">
        <is>
          <t>ESW0184081H</t>
        </is>
      </c>
      <c r="H29" t="inlineStr">
        <is>
          <t>España</t>
        </is>
      </c>
      <c r="I29" t="inlineStr">
        <is>
          <t>Servicio nacional sin IVA / exento</t>
        </is>
      </c>
      <c r="J29" t="inlineStr">
        <is>
          <t>Tarifas de logística de Amazon</t>
        </is>
      </c>
      <c r="K29" s="88" t="n">
        <v>4.49</v>
      </c>
      <c r="L29" s="89" t="n">
        <v>0</v>
      </c>
      <c r="M29" s="88" t="n">
        <v>0</v>
      </c>
      <c r="N29" s="88" t="n">
        <v>4.49</v>
      </c>
      <c r="O29" t="inlineStr">
        <is>
          <t>EUR</t>
        </is>
      </c>
      <c r="P29" s="88" t="n">
        <v>4.49</v>
      </c>
      <c r="Q29" s="88" t="n">
        <v>1</v>
      </c>
      <c r="R29" s="88" t="n">
        <v>0</v>
      </c>
      <c r="S29" s="88" t="n">
        <v>0</v>
      </c>
      <c r="T29" t="inlineStr">
        <is>
          <t>Operación no sujeta/exenta sin IVA</t>
        </is>
      </c>
      <c r="U29" t="inlineStr">
        <is>
          <t>Pendiente de revisión</t>
        </is>
      </c>
      <c r="V29" t="inlineStr">
        <is>
          <t>Factura Amazon al 0% con referencia a art. 69, 21.5º y 64 LIVA; revisar clasificación/casillas.</t>
        </is>
      </c>
      <c r="W29" t="inlineStr">
        <is>
          <t>028_2T 2026_ES-AEU-2026-463539.pdf</t>
        </is>
      </c>
      <c r="X29" t="inlineStr">
        <is>
          <t>Sí</t>
        </is>
      </c>
    </row>
    <row r="30">
      <c r="A30" t="inlineStr">
        <is>
          <t>ANA BELEN FEIJOO VIDUEIRA</t>
        </is>
      </c>
      <c r="B30" t="inlineStr">
        <is>
          <t>34975084L</t>
        </is>
      </c>
      <c r="C30" t="inlineStr">
        <is>
          <t>2T 2026</t>
        </is>
      </c>
      <c r="D30" s="83" t="n">
        <v>46173</v>
      </c>
      <c r="E30" t="inlineStr">
        <is>
          <t>ES-CN-AEU-2026-109370</t>
        </is>
      </c>
      <c r="F30" t="inlineStr">
        <is>
          <t>Amazon EU S.à r.l., Sucursal en España</t>
        </is>
      </c>
      <c r="G30" t="inlineStr">
        <is>
          <t>ESW0184081H</t>
        </is>
      </c>
      <c r="H30" t="inlineStr">
        <is>
          <t>España</t>
        </is>
      </c>
      <c r="I30" t="inlineStr">
        <is>
          <t>Nota de crédito rectificativa</t>
        </is>
      </c>
      <c r="J30" t="inlineStr">
        <is>
          <t>Tarifas reembolsadas Amazon</t>
        </is>
      </c>
      <c r="K30" s="88" t="n">
        <v>-44.45</v>
      </c>
      <c r="L30" s="89" t="n">
        <v>0.21</v>
      </c>
      <c r="M30" s="88" t="n">
        <v>-9.34</v>
      </c>
      <c r="N30" s="88" t="n">
        <v>-53.79</v>
      </c>
      <c r="O30" t="inlineStr">
        <is>
          <t>EUR</t>
        </is>
      </c>
      <c r="P30" s="88" t="n">
        <v>-53.79</v>
      </c>
      <c r="Q30" s="88" t="n">
        <v>1</v>
      </c>
      <c r="R30" s="88" t="n">
        <v>0</v>
      </c>
      <c r="S30" s="88" t="n">
        <v>0</v>
      </c>
      <c r="T30" t="inlineStr">
        <is>
          <t>Rectificación menor gasto e IVA soportado</t>
        </is>
      </c>
      <c r="U30" t="inlineStr">
        <is>
          <t>Revisado</t>
        </is>
      </c>
      <c r="V30" t="inlineStr">
        <is>
          <t>Nota de crédito vinculada a ES-AEU-2026-391495 y ES-AEU-2026-291599.</t>
        </is>
      </c>
      <c r="W30" t="inlineStr">
        <is>
          <t>029_2T 2026_ES-CN-AEU-2026-109370.pdf</t>
        </is>
      </c>
      <c r="X30" t="inlineStr">
        <is>
          <t>Sí</t>
        </is>
      </c>
    </row>
    <row r="31">
      <c r="A31" t="inlineStr">
        <is>
          <t>ANA BELEN FEIJOO VIDUEIRA</t>
        </is>
      </c>
      <c r="B31" t="inlineStr">
        <is>
          <t>34975084L</t>
        </is>
      </c>
      <c r="C31" t="inlineStr">
        <is>
          <t>2T 2026</t>
        </is>
      </c>
      <c r="D31" s="83" t="n">
        <v>46173</v>
      </c>
      <c r="E31" t="inlineStr">
        <is>
          <t>ES-CN-AEU-2026-115465</t>
        </is>
      </c>
      <c r="F31" t="inlineStr">
        <is>
          <t>Amazon EU S.à r.l., Sucursal en España</t>
        </is>
      </c>
      <c r="G31" t="inlineStr">
        <is>
          <t>ESW0184081H</t>
        </is>
      </c>
      <c r="H31" t="inlineStr">
        <is>
          <t>España</t>
        </is>
      </c>
      <c r="I31" t="inlineStr">
        <is>
          <t>Nota de crédito rectificativa</t>
        </is>
      </c>
      <c r="J31" t="inlineStr">
        <is>
          <t>Commissioni rimborsate Amazon</t>
        </is>
      </c>
      <c r="K31" s="88" t="n">
        <v>-0.88</v>
      </c>
      <c r="L31" s="89" t="n">
        <v>0.21</v>
      </c>
      <c r="M31" s="88" t="n">
        <v>-0.19</v>
      </c>
      <c r="N31" s="88" t="n">
        <v>-1.07</v>
      </c>
      <c r="O31" t="inlineStr">
        <is>
          <t>EUR</t>
        </is>
      </c>
      <c r="P31" s="88" t="n">
        <v>-1.07</v>
      </c>
      <c r="Q31" s="88" t="n">
        <v>1</v>
      </c>
      <c r="R31" s="88" t="n">
        <v>0</v>
      </c>
      <c r="S31" s="88" t="n">
        <v>0</v>
      </c>
      <c r="T31" t="inlineStr">
        <is>
          <t>Rectificación menor gasto e IVA soportado</t>
        </is>
      </c>
      <c r="U31" t="inlineStr">
        <is>
          <t>Revisado</t>
        </is>
      </c>
      <c r="V31" t="inlineStr">
        <is>
          <t>Nota de crédito vinculada a ES-AEU-2026-323427.</t>
        </is>
      </c>
      <c r="W31" t="inlineStr">
        <is>
          <t>030_2T 2026_ES-CN-AEU-2026-115465.pdf</t>
        </is>
      </c>
      <c r="X31" t="inlineStr">
        <is>
          <t>Sí</t>
        </is>
      </c>
    </row>
    <row r="32" ht="28.5" customHeight="1" s="81">
      <c r="A32" s="50" t="inlineStr">
        <is>
          <t>ANA BELEN FEIJOO VIDUEIRA</t>
        </is>
      </c>
      <c r="B32" s="50" t="inlineStr">
        <is>
          <t>34975084L</t>
        </is>
      </c>
      <c r="C32" s="50" t="inlineStr">
        <is>
          <t>2T 2026</t>
        </is>
      </c>
      <c r="D32" s="91" t="n">
        <v>46173</v>
      </c>
      <c r="E32" s="50" t="inlineStr">
        <is>
          <t>ES-CN-AEU-2026-119151</t>
        </is>
      </c>
      <c r="F32" s="50" t="inlineStr">
        <is>
          <t>Amazon EU S.à r.l., Sucursal en España</t>
        </is>
      </c>
      <c r="G32" s="50" t="inlineStr">
        <is>
          <t>ESW0184081H</t>
        </is>
      </c>
      <c r="H32" s="50" t="inlineStr">
        <is>
          <t>España</t>
        </is>
      </c>
      <c r="I32" s="50" t="inlineStr">
        <is>
          <t>Nota de crédito rectificativa</t>
        </is>
      </c>
      <c r="J32" s="50" t="inlineStr">
        <is>
          <t>Tarifas reembolsadas Amazon</t>
        </is>
      </c>
      <c r="K32" s="92" t="n">
        <v>-2.74</v>
      </c>
      <c r="L32" s="93" t="n">
        <v>0.21</v>
      </c>
      <c r="M32" s="92" t="n">
        <v>-0.58</v>
      </c>
      <c r="N32" s="92" t="n">
        <v>-3.32</v>
      </c>
      <c r="O32" s="50" t="inlineStr">
        <is>
          <t>EUR</t>
        </is>
      </c>
      <c r="P32" s="92" t="n">
        <v>-3.32</v>
      </c>
      <c r="Q32" s="92" t="n">
        <v>1</v>
      </c>
      <c r="R32" s="92" t="n">
        <v>0</v>
      </c>
      <c r="S32" s="92" t="n">
        <v>0</v>
      </c>
      <c r="T32" s="50" t="inlineStr">
        <is>
          <t>Rectificación menor gasto e IVA soportado</t>
        </is>
      </c>
      <c r="U32" s="50" t="inlineStr">
        <is>
          <t>Revisado</t>
        </is>
      </c>
      <c r="V32" s="50" t="inlineStr">
        <is>
          <t>Nota de crédito vinculada a ES-AEU-2026-391494.</t>
        </is>
      </c>
      <c r="W32" s="50" t="inlineStr">
        <is>
          <t>031_2T 2026_ES-CN-AEU-2026-119151.pdf</t>
        </is>
      </c>
      <c r="X32" s="50" t="inlineStr">
        <is>
          <t>Sí</t>
        </is>
      </c>
    </row>
    <row r="33" ht="28.5" customHeight="1" s="81">
      <c r="A33" s="50" t="inlineStr">
        <is>
          <t>ANA BELEN FEIJOO VIDUEIRA</t>
        </is>
      </c>
      <c r="B33" s="50" t="inlineStr">
        <is>
          <t>34975084L</t>
        </is>
      </c>
      <c r="C33" s="50" t="inlineStr">
        <is>
          <t>2T 2026</t>
        </is>
      </c>
      <c r="D33" s="91" t="n">
        <v>46173</v>
      </c>
      <c r="E33" s="50" t="inlineStr">
        <is>
          <t>ES-CN-AEU-2026-123017</t>
        </is>
      </c>
      <c r="F33" s="50" t="inlineStr">
        <is>
          <t>Amazon EU S.à r.l., Sucursal en España</t>
        </is>
      </c>
      <c r="G33" s="50" t="inlineStr">
        <is>
          <t>ESW0184081H</t>
        </is>
      </c>
      <c r="H33" s="50" t="inlineStr">
        <is>
          <t>España</t>
        </is>
      </c>
      <c r="I33" s="50" t="inlineStr">
        <is>
          <t>Nota de crédito rectificativa</t>
        </is>
      </c>
      <c r="J33" s="50" t="inlineStr">
        <is>
          <t>Frais remboursés Amazon</t>
        </is>
      </c>
      <c r="K33" s="92" t="n">
        <v>-5.67</v>
      </c>
      <c r="L33" s="93" t="n">
        <v>0.21</v>
      </c>
      <c r="M33" s="92" t="n">
        <v>-1.19</v>
      </c>
      <c r="N33" s="92" t="n">
        <v>-6.86</v>
      </c>
      <c r="O33" s="50" t="inlineStr">
        <is>
          <t>EUR</t>
        </is>
      </c>
      <c r="P33" s="92" t="n">
        <v>-6.86</v>
      </c>
      <c r="Q33" s="92" t="n">
        <v>1</v>
      </c>
      <c r="R33" s="92" t="n">
        <v>0</v>
      </c>
      <c r="S33" s="92" t="n">
        <v>0</v>
      </c>
      <c r="T33" s="50" t="inlineStr">
        <is>
          <t>Rectificación menor gasto e IVA soportado</t>
        </is>
      </c>
      <c r="U33" s="50" t="inlineStr">
        <is>
          <t>Revisado</t>
        </is>
      </c>
      <c r="V33" s="50" t="inlineStr">
        <is>
          <t>Nota de crédito vinculada a ES-AEU-2026-394176.</t>
        </is>
      </c>
      <c r="W33" s="50" t="inlineStr">
        <is>
          <t>032_2T 2026_ES-CN-AEU-2026-123017.pdf</t>
        </is>
      </c>
      <c r="X33" s="50" t="inlineStr">
        <is>
          <t>Sí</t>
        </is>
      </c>
    </row>
    <row r="34" ht="28.5" customHeight="1" s="81">
      <c r="A34" s="50" t="inlineStr">
        <is>
          <t>ANA BELEN FEIJOO VIDUEIRA</t>
        </is>
      </c>
      <c r="B34" s="50" t="inlineStr">
        <is>
          <t>34975084L</t>
        </is>
      </c>
      <c r="C34" s="50" t="inlineStr">
        <is>
          <t>2T 2026</t>
        </is>
      </c>
      <c r="D34" s="91" t="n">
        <v>46173</v>
      </c>
      <c r="E34" s="50" t="inlineStr">
        <is>
          <t>ES-CN-AEU-2026-126023</t>
        </is>
      </c>
      <c r="F34" s="50" t="inlineStr">
        <is>
          <t>Amazon EU S.à r.l., Sucursal en España</t>
        </is>
      </c>
      <c r="G34" s="50" t="inlineStr">
        <is>
          <t>ESW0184081H</t>
        </is>
      </c>
      <c r="H34" s="50" t="inlineStr">
        <is>
          <t>España</t>
        </is>
      </c>
      <c r="I34" s="50" t="inlineStr">
        <is>
          <t>Nota de crédito rectificativa</t>
        </is>
      </c>
      <c r="J34" s="50" t="inlineStr">
        <is>
          <t>Frais remboursés Amazon</t>
        </is>
      </c>
      <c r="K34" s="92" t="n">
        <v>-3.4</v>
      </c>
      <c r="L34" s="93" t="n">
        <v>0.21</v>
      </c>
      <c r="M34" s="92" t="n">
        <v>-0.71</v>
      </c>
      <c r="N34" s="92" t="n">
        <v>-4.11</v>
      </c>
      <c r="O34" s="50" t="inlineStr">
        <is>
          <t>EUR</t>
        </is>
      </c>
      <c r="P34" s="92" t="n">
        <v>-4.11</v>
      </c>
      <c r="Q34" s="92" t="n">
        <v>1</v>
      </c>
      <c r="R34" s="92" t="n">
        <v>0</v>
      </c>
      <c r="S34" s="92" t="n">
        <v>0</v>
      </c>
      <c r="T34" s="50" t="inlineStr">
        <is>
          <t>Rectificación menor gasto e IVA soportado</t>
        </is>
      </c>
      <c r="U34" s="50" t="inlineStr">
        <is>
          <t>Revisado</t>
        </is>
      </c>
      <c r="V34" s="50" t="inlineStr">
        <is>
          <t>Nota de crédito vinculada a ES-AEU-2026-394164.</t>
        </is>
      </c>
      <c r="W34" s="50" t="inlineStr">
        <is>
          <t>033_2T 2026_ES-CN-AEU-2026-126023.pdf</t>
        </is>
      </c>
      <c r="X34" s="50" t="inlineStr">
        <is>
          <t>Sí</t>
        </is>
      </c>
    </row>
    <row r="35" ht="28.5" customHeight="1" s="81">
      <c r="A35" s="50" t="inlineStr">
        <is>
          <t>ANA BELEN FEIJOO VIDUEIRA</t>
        </is>
      </c>
      <c r="B35" s="50" t="inlineStr">
        <is>
          <t>34975084L</t>
        </is>
      </c>
      <c r="C35" s="50" t="inlineStr">
        <is>
          <t>2T 2026</t>
        </is>
      </c>
      <c r="D35" s="91" t="n">
        <v>46142</v>
      </c>
      <c r="E35" s="50" t="inlineStr">
        <is>
          <t>ES-CN-AEU-2026-83983</t>
        </is>
      </c>
      <c r="F35" s="50" t="inlineStr">
        <is>
          <t>Amazon EU S.à r.l., Sucursal en España</t>
        </is>
      </c>
      <c r="G35" s="50" t="inlineStr">
        <is>
          <t>ESW0184081H</t>
        </is>
      </c>
      <c r="H35" s="50" t="inlineStr">
        <is>
          <t>España</t>
        </is>
      </c>
      <c r="I35" s="50" t="inlineStr">
        <is>
          <t>Nota de crédito rectificativa</t>
        </is>
      </c>
      <c r="J35" s="50" t="inlineStr">
        <is>
          <t>Tarifas reembolsadas Amazon</t>
        </is>
      </c>
      <c r="K35" s="92" t="n">
        <v>-45.09</v>
      </c>
      <c r="L35" s="93" t="n">
        <v>0.21</v>
      </c>
      <c r="M35" s="92" t="n">
        <v>-9.470000000000001</v>
      </c>
      <c r="N35" s="92" t="n">
        <v>-54.56</v>
      </c>
      <c r="O35" s="50" t="inlineStr">
        <is>
          <t>EUR</t>
        </is>
      </c>
      <c r="P35" s="92" t="n">
        <v>-54.56</v>
      </c>
      <c r="Q35" s="92" t="n">
        <v>1</v>
      </c>
      <c r="R35" s="92" t="n">
        <v>0</v>
      </c>
      <c r="S35" s="92" t="n">
        <v>0</v>
      </c>
      <c r="T35" s="50" t="inlineStr">
        <is>
          <t>Rectificación menor gasto e IVA soportado</t>
        </is>
      </c>
      <c r="U35" s="50" t="inlineStr">
        <is>
          <t>Revisado</t>
        </is>
      </c>
      <c r="V35" s="50" t="inlineStr">
        <is>
          <t>Nota de crédito vinculada a ES-AEU-2026-195473 y ES-AEU-2026-291599.</t>
        </is>
      </c>
      <c r="W35" s="50" t="inlineStr">
        <is>
          <t>034_2T 2026_ES-CN-AEU-2026-83983.pdf</t>
        </is>
      </c>
      <c r="X35" s="50" t="inlineStr">
        <is>
          <t>Sí</t>
        </is>
      </c>
    </row>
    <row r="36" ht="28.5" customHeight="1" s="81">
      <c r="A36" s="50" t="inlineStr">
        <is>
          <t>ANA BELEN FEIJOO VIDUEIRA</t>
        </is>
      </c>
      <c r="B36" s="50" t="inlineStr">
        <is>
          <t>34975084L</t>
        </is>
      </c>
      <c r="C36" s="50" t="inlineStr">
        <is>
          <t>2T 2026</t>
        </is>
      </c>
      <c r="D36" s="91" t="n">
        <v>46142</v>
      </c>
      <c r="E36" s="50" t="inlineStr">
        <is>
          <t>ES-CN-AEU-2026-91599</t>
        </is>
      </c>
      <c r="F36" s="50" t="inlineStr">
        <is>
          <t>Amazon EU S.à r.l., Sucursal en España</t>
        </is>
      </c>
      <c r="G36" s="50" t="inlineStr">
        <is>
          <t>ESW0184081H</t>
        </is>
      </c>
      <c r="H36" s="50" t="inlineStr">
        <is>
          <t>España</t>
        </is>
      </c>
      <c r="I36" s="50" t="inlineStr">
        <is>
          <t>Nota de crédito rectificativa</t>
        </is>
      </c>
      <c r="J36" s="50" t="inlineStr">
        <is>
          <t>Tarifas reembolsadas Amazon</t>
        </is>
      </c>
      <c r="K36" s="92" t="n">
        <v>-9.76</v>
      </c>
      <c r="L36" s="93" t="n">
        <v>0.21</v>
      </c>
      <c r="M36" s="92" t="n">
        <v>-2.05</v>
      </c>
      <c r="N36" s="92" t="n">
        <v>-11.81</v>
      </c>
      <c r="O36" s="50" t="inlineStr">
        <is>
          <t>EUR</t>
        </is>
      </c>
      <c r="P36" s="92" t="n">
        <v>-11.81</v>
      </c>
      <c r="Q36" s="92" t="n">
        <v>1</v>
      </c>
      <c r="R36" s="92" t="n">
        <v>0</v>
      </c>
      <c r="S36" s="92" t="n">
        <v>0</v>
      </c>
      <c r="T36" s="50" t="inlineStr">
        <is>
          <t>Rectificación menor gasto e IVA soportado</t>
        </is>
      </c>
      <c r="U36" s="50" t="inlineStr">
        <is>
          <t>Revisado</t>
        </is>
      </c>
      <c r="V36" s="50" t="inlineStr">
        <is>
          <t>Nota de crédito vinculada a ES-AEU-2026-291575 y ES-AEU-2026-195468.</t>
        </is>
      </c>
      <c r="W36" s="50" t="inlineStr">
        <is>
          <t>035_2T 2026_ES-CN-AEU-2026-91599.pdf</t>
        </is>
      </c>
      <c r="X36" s="50" t="inlineStr">
        <is>
          <t>Sí</t>
        </is>
      </c>
    </row>
    <row r="37" ht="28.5" customHeight="1" s="81">
      <c r="A37" s="50" t="inlineStr">
        <is>
          <t>ANA BELEN FEIJOO VIDUEIRA</t>
        </is>
      </c>
      <c r="B37" s="50" t="inlineStr">
        <is>
          <t>34975084L</t>
        </is>
      </c>
      <c r="C37" s="50" t="inlineStr">
        <is>
          <t>2T 2026</t>
        </is>
      </c>
      <c r="D37" s="91" t="n">
        <v>46142</v>
      </c>
      <c r="E37" s="50" t="inlineStr">
        <is>
          <t>ES-CN-AEU-2026-92640</t>
        </is>
      </c>
      <c r="F37" s="50" t="inlineStr">
        <is>
          <t>Amazon EU S.à r.l., Sucursal en España</t>
        </is>
      </c>
      <c r="G37" s="50" t="inlineStr">
        <is>
          <t>ESW0184081H</t>
        </is>
      </c>
      <c r="H37" s="50" t="inlineStr">
        <is>
          <t>España</t>
        </is>
      </c>
      <c r="I37" s="50" t="inlineStr">
        <is>
          <t>Nota de crédito rectificativa</t>
        </is>
      </c>
      <c r="J37" s="50" t="inlineStr">
        <is>
          <t>Frais remboursés Amazon</t>
        </is>
      </c>
      <c r="K37" s="92" t="n">
        <v>-2.76</v>
      </c>
      <c r="L37" s="93" t="n">
        <v>0.21</v>
      </c>
      <c r="M37" s="92" t="n">
        <v>-0.58</v>
      </c>
      <c r="N37" s="92" t="n">
        <v>-3.34</v>
      </c>
      <c r="O37" s="50" t="inlineStr">
        <is>
          <t>EUR</t>
        </is>
      </c>
      <c r="P37" s="92" t="n">
        <v>-3.34</v>
      </c>
      <c r="Q37" s="92" t="n">
        <v>1</v>
      </c>
      <c r="R37" s="92" t="n">
        <v>0</v>
      </c>
      <c r="S37" s="92" t="n">
        <v>0</v>
      </c>
      <c r="T37" s="50" t="inlineStr">
        <is>
          <t>Rectificación menor gasto e IVA soportado</t>
        </is>
      </c>
      <c r="U37" s="50" t="inlineStr">
        <is>
          <t>Revisado</t>
        </is>
      </c>
      <c r="V37" s="50" t="inlineStr">
        <is>
          <t>Nota de crédito vinculada a ES-AEU-2026-214318.</t>
        </is>
      </c>
      <c r="W37" s="50" t="inlineStr">
        <is>
          <t>036_2T 2026_ES-CN-AEU-2026-92640.pdf</t>
        </is>
      </c>
      <c r="X37" s="50" t="inlineStr">
        <is>
          <t>Sí</t>
        </is>
      </c>
    </row>
    <row r="38" ht="28.5" customHeight="1" s="81">
      <c r="A38" s="50" t="inlineStr">
        <is>
          <t>ANA BELEN FEIJOO VIDUEIRA</t>
        </is>
      </c>
      <c r="B38" s="50" t="inlineStr">
        <is>
          <t>34975084L</t>
        </is>
      </c>
      <c r="C38" s="50" t="inlineStr">
        <is>
          <t>2T 2026</t>
        </is>
      </c>
      <c r="D38" s="91" t="n">
        <v>46145</v>
      </c>
      <c r="E38" s="50" t="inlineStr">
        <is>
          <t>CU2024252668</t>
        </is>
      </c>
      <c r="F38" s="50" t="inlineStr">
        <is>
          <t>COMPRAS SEGURAS 2015 S.L.U.</t>
        </is>
      </c>
      <c r="G38" s="50" t="inlineStr">
        <is>
          <t>B05247226</t>
        </is>
      </c>
      <c r="H38" s="50" t="inlineStr">
        <is>
          <t>España</t>
        </is>
      </c>
      <c r="I38" s="50" t="inlineStr">
        <is>
          <t>Compra nacional con IVA</t>
        </is>
      </c>
      <c r="J38" s="50" t="inlineStr">
        <is>
          <t>Vermiculita 100L y artículos promocionales</t>
        </is>
      </c>
      <c r="K38" s="92" t="n">
        <v>42.24</v>
      </c>
      <c r="L38" s="93" t="n">
        <v>0.21</v>
      </c>
      <c r="M38" s="92" t="n">
        <v>8.869999999999999</v>
      </c>
      <c r="N38" s="92" t="n">
        <v>51.11</v>
      </c>
      <c r="O38" s="50" t="inlineStr">
        <is>
          <t>EUR</t>
        </is>
      </c>
      <c r="P38" s="92" t="n">
        <v>51.11</v>
      </c>
      <c r="Q38" s="92" t="n">
        <v>1</v>
      </c>
      <c r="R38" s="92" t="n">
        <v>0</v>
      </c>
      <c r="S38" s="92" t="n">
        <v>0</v>
      </c>
      <c r="T38" s="50" t="inlineStr">
        <is>
          <t>Gasto/compra con IVA soportado nacional</t>
        </is>
      </c>
      <c r="U38" s="50" t="inlineStr">
        <is>
          <t>Pendiente de revisión</t>
        </is>
      </c>
      <c r="V38" s="50" t="inlineStr">
        <is>
          <t>Revisar afectación a actividad y naturaleza del producto.</t>
        </is>
      </c>
      <c r="W38" s="50" t="inlineStr">
        <is>
          <t>037_2T 2026_EUROGROW #CU2024252668.pdf</t>
        </is>
      </c>
      <c r="X38" s="50" t="inlineStr">
        <is>
          <t>Sí</t>
        </is>
      </c>
    </row>
    <row r="39" ht="28.5" customHeight="1" s="81">
      <c r="A39" s="50" t="inlineStr">
        <is>
          <t>ANA BELEN FEIJOO VIDUEIRA</t>
        </is>
      </c>
      <c r="B39" s="50" t="inlineStr">
        <is>
          <t>34975084L</t>
        </is>
      </c>
      <c r="C39" s="50" t="inlineStr">
        <is>
          <t>2T 2026</t>
        </is>
      </c>
      <c r="D39" s="91" t="n">
        <v>46168</v>
      </c>
      <c r="E39" s="50" t="inlineStr">
        <is>
          <t>CU2024261474</t>
        </is>
      </c>
      <c r="F39" s="50" t="inlineStr">
        <is>
          <t>COMPRAS SEGURAS 2015 S.L.U.</t>
        </is>
      </c>
      <c r="G39" s="50" t="inlineStr">
        <is>
          <t>B05247226</t>
        </is>
      </c>
      <c r="H39" s="50" t="inlineStr">
        <is>
          <t>España</t>
        </is>
      </c>
      <c r="I39" s="50" t="inlineStr">
        <is>
          <t>Compra nacional con IVA</t>
        </is>
      </c>
      <c r="J39" s="50" t="inlineStr">
        <is>
          <t>Vermiculita 100L</t>
        </is>
      </c>
      <c r="K39" s="92" t="n">
        <v>21.12</v>
      </c>
      <c r="L39" s="93" t="n">
        <v>0.21</v>
      </c>
      <c r="M39" s="92" t="n">
        <v>4.43</v>
      </c>
      <c r="N39" s="92" t="n">
        <v>25.55</v>
      </c>
      <c r="O39" s="50" t="inlineStr">
        <is>
          <t>EUR</t>
        </is>
      </c>
      <c r="P39" s="92" t="n">
        <v>25.55</v>
      </c>
      <c r="Q39" s="92" t="n">
        <v>1</v>
      </c>
      <c r="R39" s="92" t="n">
        <v>0</v>
      </c>
      <c r="S39" s="92" t="n">
        <v>0</v>
      </c>
      <c r="T39" s="50" t="inlineStr">
        <is>
          <t>Gasto/compra con IVA soportado nacional</t>
        </is>
      </c>
      <c r="U39" s="50" t="inlineStr">
        <is>
          <t>Pendiente de revisión</t>
        </is>
      </c>
      <c r="V39" s="50" t="inlineStr">
        <is>
          <t>Revisar afectación a actividad y naturaleza del producto.</t>
        </is>
      </c>
      <c r="W39" s="50" t="inlineStr">
        <is>
          <t>038_2T 2026_EUROGROW #CU2024261474.pdf</t>
        </is>
      </c>
      <c r="X39" s="50" t="inlineStr">
        <is>
          <t>Sí</t>
        </is>
      </c>
    </row>
    <row r="40" ht="28.5" customHeight="1" s="81">
      <c r="A40" s="50" t="inlineStr">
        <is>
          <t>ANA BELEN FEIJOO VIDUEIRA</t>
        </is>
      </c>
      <c r="B40" s="50" t="inlineStr">
        <is>
          <t>34975084L</t>
        </is>
      </c>
      <c r="C40" s="50" t="inlineStr">
        <is>
          <t>2T 2026</t>
        </is>
      </c>
      <c r="D40" s="91" t="n">
        <v>46082</v>
      </c>
      <c r="E40" s="50" t="inlineStr">
        <is>
          <t>CNP2600738822</t>
        </is>
      </c>
      <c r="F40" s="50" t="inlineStr">
        <is>
          <t>WEWI MOBILE S.L. - Finetwork</t>
        </is>
      </c>
      <c r="G40" s="50" t="inlineStr">
        <is>
          <t>B54865845</t>
        </is>
      </c>
      <c r="H40" s="50" t="inlineStr">
        <is>
          <t>España</t>
        </is>
      </c>
      <c r="I40" s="50" t="inlineStr">
        <is>
          <t>Telecomunicaciones con IVA</t>
        </is>
      </c>
      <c r="J40" s="50" t="inlineStr">
        <is>
          <t>Paquetes móvil+fibra y servicios de telefonía febrero</t>
        </is>
      </c>
      <c r="K40" s="92" t="n">
        <v>35.29</v>
      </c>
      <c r="L40" s="93" t="n">
        <v>0.21</v>
      </c>
      <c r="M40" s="92" t="n">
        <v>7.41</v>
      </c>
      <c r="N40" s="92" t="n">
        <v>42.7</v>
      </c>
      <c r="O40" s="50" t="inlineStr">
        <is>
          <t>EUR</t>
        </is>
      </c>
      <c r="P40" s="92" t="n">
        <v>42.7</v>
      </c>
      <c r="Q40" s="92" t="n">
        <v>1</v>
      </c>
      <c r="R40" s="92" t="n">
        <v>0</v>
      </c>
      <c r="S40" s="92" t="n">
        <v>0</v>
      </c>
      <c r="T40" s="50" t="inlineStr">
        <is>
          <t>Gasto de telecomunicaciones fuera de periodo</t>
        </is>
      </c>
      <c r="U40" s="50" t="inlineStr">
        <is>
          <t>Fuera de periodo 2T</t>
        </is>
      </c>
      <c r="V40" s="50" t="inlineStr">
        <is>
          <t>Factura emitida 01/03/2026 y periodo febrero; no incluir en 2T salvo criterio distinto.</t>
        </is>
      </c>
      <c r="W40" s="50" t="inlineStr">
        <is>
          <t>039_2T 2026_FINETWORK Factura_Febrero 2026.pdf</t>
        </is>
      </c>
      <c r="X40" s="50" t="inlineStr">
        <is>
          <t>No</t>
        </is>
      </c>
    </row>
    <row r="41" ht="28.5" customHeight="1" s="81">
      <c r="A41" s="50" t="inlineStr">
        <is>
          <t>ANA BELEN FEIJOO VIDUEIRA</t>
        </is>
      </c>
      <c r="B41" s="50" t="inlineStr">
        <is>
          <t>34975084L</t>
        </is>
      </c>
      <c r="C41" s="50" t="inlineStr">
        <is>
          <t>2T 2026</t>
        </is>
      </c>
      <c r="D41" s="91" t="n">
        <v>46113</v>
      </c>
      <c r="E41" s="50" t="inlineStr">
        <is>
          <t>CNP2601150107</t>
        </is>
      </c>
      <c r="F41" s="50" t="inlineStr">
        <is>
          <t>WEWI MOBILE S.L. - Finetwork</t>
        </is>
      </c>
      <c r="G41" s="50" t="inlineStr">
        <is>
          <t>B54865845</t>
        </is>
      </c>
      <c r="H41" s="50" t="inlineStr">
        <is>
          <t>España</t>
        </is>
      </c>
      <c r="I41" s="50" t="inlineStr">
        <is>
          <t>Telecomunicaciones con IVA</t>
        </is>
      </c>
      <c r="J41" s="50" t="inlineStr">
        <is>
          <t>Paquetes móvil+fibra y servicios de telefonía marzo</t>
        </is>
      </c>
      <c r="K41" s="92" t="n">
        <v>35.29</v>
      </c>
      <c r="L41" s="93" t="n">
        <v>0.21</v>
      </c>
      <c r="M41" s="92" t="n">
        <v>7.41</v>
      </c>
      <c r="N41" s="92" t="n">
        <v>42.7</v>
      </c>
      <c r="O41" s="50" t="inlineStr">
        <is>
          <t>EUR</t>
        </is>
      </c>
      <c r="P41" s="92" t="n">
        <v>42.7</v>
      </c>
      <c r="Q41" s="92" t="n">
        <v>1</v>
      </c>
      <c r="R41" s="92" t="n">
        <v>0</v>
      </c>
      <c r="S41" s="92" t="n">
        <v>0</v>
      </c>
      <c r="T41" s="50" t="inlineStr">
        <is>
          <t>Gasto de telecomunicaciones con IVA soportado</t>
        </is>
      </c>
      <c r="U41" s="50" t="inlineStr">
        <is>
          <t>Pendiente de revisión</t>
        </is>
      </c>
      <c r="V41" s="50" t="inlineStr">
        <is>
          <t>Factura emitida 01/04/2026 por servicios de marzo; revisar devengo y afectación profesional.</t>
        </is>
      </c>
      <c r="W41" s="50" t="inlineStr">
        <is>
          <t>040_2T 2026_FINETWORK Factura_Marzo 2026.pdf</t>
        </is>
      </c>
      <c r="X41" s="50" t="inlineStr">
        <is>
          <t>Sí</t>
        </is>
      </c>
    </row>
    <row r="42" ht="28.5" customHeight="1" s="81">
      <c r="A42" s="50" t="inlineStr">
        <is>
          <t>ANA BELEN FEIJOO VIDUEIRA</t>
        </is>
      </c>
      <c r="B42" s="50" t="inlineStr">
        <is>
          <t>34975084L</t>
        </is>
      </c>
      <c r="C42" s="50" t="inlineStr">
        <is>
          <t>2T 2026</t>
        </is>
      </c>
      <c r="D42" s="91" t="n">
        <v>46154</v>
      </c>
      <c r="E42" s="50" t="inlineStr">
        <is>
          <t>A/062492</t>
        </is>
      </c>
      <c r="F42" s="50" t="inlineStr">
        <is>
          <t>JORGE RAMOS FIGUEIRAS</t>
        </is>
      </c>
      <c r="G42" s="50" t="inlineStr">
        <is>
          <t>52470323D</t>
        </is>
      </c>
      <c r="H42" s="50" t="inlineStr">
        <is>
          <t>España</t>
        </is>
      </c>
      <c r="I42" s="50" t="inlineStr">
        <is>
          <t>Servicio nacional con IVA</t>
        </is>
      </c>
      <c r="J42" s="50" t="inlineStr">
        <is>
          <t>Porte Leal e Soares - Orense</t>
        </is>
      </c>
      <c r="K42" s="92" t="n">
        <v>71.34</v>
      </c>
      <c r="L42" s="93" t="n">
        <v>0.21</v>
      </c>
      <c r="M42" s="92" t="n">
        <v>14.98</v>
      </c>
      <c r="N42" s="92" t="n">
        <v>86.31999999999999</v>
      </c>
      <c r="O42" s="50" t="inlineStr">
        <is>
          <t>EUR</t>
        </is>
      </c>
      <c r="P42" s="92" t="n">
        <v>86.31999999999999</v>
      </c>
      <c r="Q42" s="92" t="n">
        <v>1</v>
      </c>
      <c r="R42" s="92" t="n">
        <v>0</v>
      </c>
      <c r="S42" s="92" t="n">
        <v>0</v>
      </c>
      <c r="T42" s="50" t="inlineStr">
        <is>
          <t>Gasto con IVA soportado nacional</t>
        </is>
      </c>
      <c r="U42" s="50" t="inlineStr">
        <is>
          <t>Revisado</t>
        </is>
      </c>
      <c r="V42" s="50" t="inlineStr">
        <is>
          <t>Factura nacional de transporte/portes con IVA 21%.</t>
        </is>
      </c>
      <c r="W42" s="50" t="inlineStr">
        <is>
          <t>041_2T 2026_FRANCISCO FRA PORTES DE COMPRA SIRO.pdf</t>
        </is>
      </c>
      <c r="X42" s="50" t="inlineStr">
        <is>
          <t>Sí</t>
        </is>
      </c>
    </row>
    <row r="43" ht="28.5" customHeight="1" s="81">
      <c r="A43" s="50" t="inlineStr">
        <is>
          <t>ANA BELEN FEIJOO VIDUEIRA</t>
        </is>
      </c>
      <c r="B43" s="50" t="inlineStr">
        <is>
          <t>34975084L</t>
        </is>
      </c>
      <c r="C43" s="50" t="inlineStr">
        <is>
          <t>2T 2026</t>
        </is>
      </c>
      <c r="D43" s="91" t="n">
        <v>46108</v>
      </c>
      <c r="E43" s="50" t="inlineStr">
        <is>
          <t>21260327010178060</t>
        </is>
      </c>
      <c r="F43" s="50" t="inlineStr">
        <is>
          <t>IBERDROLA CLIENTES, S.A.U.</t>
        </is>
      </c>
      <c r="G43" s="50" t="inlineStr">
        <is>
          <t>A95758389</t>
        </is>
      </c>
      <c r="H43" s="50" t="inlineStr">
        <is>
          <t>España</t>
        </is>
      </c>
      <c r="I43" s="50" t="inlineStr">
        <is>
          <t>Suministro electricidad IVA reducido</t>
        </is>
      </c>
      <c r="J43" s="50" t="inlineStr">
        <is>
          <t>Electricidad periodo 23/02/2026-23/03/2026</t>
        </is>
      </c>
      <c r="K43" s="92" t="n">
        <v>45.21</v>
      </c>
      <c r="L43" s="93" t="n">
        <v>0.1</v>
      </c>
      <c r="M43" s="92" t="n">
        <v>4.52</v>
      </c>
      <c r="N43" s="92" t="n">
        <v>49.73</v>
      </c>
      <c r="O43" s="50" t="inlineStr">
        <is>
          <t>EUR</t>
        </is>
      </c>
      <c r="P43" s="92" t="n">
        <v>49.73</v>
      </c>
      <c r="Q43" s="92" t="n">
        <v>1</v>
      </c>
      <c r="R43" s="92" t="n">
        <v>0</v>
      </c>
      <c r="S43" s="92" t="n">
        <v>0</v>
      </c>
      <c r="T43" s="50" t="inlineStr">
        <is>
          <t>Suministro fuera de periodo / deducibilidad a revisar</t>
        </is>
      </c>
      <c r="U43" s="50" t="inlineStr">
        <is>
          <t>Fuera de periodo 2T</t>
        </is>
      </c>
      <c r="V43" s="50" t="inlineStr">
        <is>
          <t>Factura emitida 27/03/2026; aunque cobro previsto 04/04, se deja fuera de 2T salvo criterio de caja. Revisar afectación vivienda/actividad.</t>
        </is>
      </c>
      <c r="W43" s="50" t="inlineStr">
        <is>
          <t>042_2T 2026_IBERDROLA 073014737020260327164221012837.pdf</t>
        </is>
      </c>
      <c r="X43" s="50" t="inlineStr">
        <is>
          <t>No</t>
        </is>
      </c>
    </row>
    <row r="44" ht="28.5" customHeight="1" s="81">
      <c r="A44" s="50" t="inlineStr">
        <is>
          <t>ANA BELEN FEIJOO VIDUEIRA</t>
        </is>
      </c>
      <c r="B44" s="50" t="inlineStr">
        <is>
          <t>34975084L</t>
        </is>
      </c>
      <c r="C44" s="50" t="inlineStr">
        <is>
          <t>2T 2026</t>
        </is>
      </c>
      <c r="D44" s="91" t="n">
        <v>46142</v>
      </c>
      <c r="E44" s="50" t="inlineStr">
        <is>
          <t>21260430010173606</t>
        </is>
      </c>
      <c r="F44" s="50" t="inlineStr">
        <is>
          <t>IBERDROLA CLIENTES, S.A.U.</t>
        </is>
      </c>
      <c r="G44" s="50" t="inlineStr">
        <is>
          <t>A95758389</t>
        </is>
      </c>
      <c r="H44" s="50" t="inlineStr">
        <is>
          <t>España</t>
        </is>
      </c>
      <c r="I44" s="50" t="inlineStr">
        <is>
          <t>Suministro electricidad IVA reducido</t>
        </is>
      </c>
      <c r="J44" s="50" t="inlineStr">
        <is>
          <t>Electricidad periodo 23/03/2026-23/04/2026</t>
        </is>
      </c>
      <c r="K44" s="92" t="n">
        <v>50.02</v>
      </c>
      <c r="L44" s="93" t="n">
        <v>0.1</v>
      </c>
      <c r="M44" s="92" t="n">
        <v>5</v>
      </c>
      <c r="N44" s="92" t="n">
        <v>55.02</v>
      </c>
      <c r="O44" s="50" t="inlineStr">
        <is>
          <t>EUR</t>
        </is>
      </c>
      <c r="P44" s="92" t="n">
        <v>55.02</v>
      </c>
      <c r="Q44" s="92" t="n">
        <v>1</v>
      </c>
      <c r="R44" s="92" t="n">
        <v>0</v>
      </c>
      <c r="S44" s="92" t="n">
        <v>0</v>
      </c>
      <c r="T44" s="50" t="inlineStr">
        <is>
          <t>Suministro con IVA reducido; deducibilidad a revisar</t>
        </is>
      </c>
      <c r="U44" s="50" t="inlineStr">
        <is>
          <t>Pendiente de revisión</t>
        </is>
      </c>
      <c r="V44" s="50" t="inlineStr">
        <is>
          <t>IVA reducido 10%. Revisar porcentaje deducible por suministro de vivienda/actividad.</t>
        </is>
      </c>
      <c r="W44" s="50" t="inlineStr">
        <is>
          <t>043_2T 2026_IBERDROLA 730147370_2026-04-30-16.43.22.012362.pdf</t>
        </is>
      </c>
      <c r="X44" s="50" t="inlineStr">
        <is>
          <t>Sí</t>
        </is>
      </c>
    </row>
    <row r="45" ht="28.5" customHeight="1" s="81">
      <c r="A45" s="50" t="inlineStr">
        <is>
          <t>ANA BELEN FEIJOO VIDUEIRA</t>
        </is>
      </c>
      <c r="B45" s="50" t="inlineStr">
        <is>
          <t>34975084L</t>
        </is>
      </c>
      <c r="C45" s="50" t="inlineStr">
        <is>
          <t>2T 2026</t>
        </is>
      </c>
      <c r="D45" s="91" t="n">
        <v>46171</v>
      </c>
      <c r="E45" s="50" t="inlineStr">
        <is>
          <t>21260529010183856</t>
        </is>
      </c>
      <c r="F45" s="50" t="inlineStr">
        <is>
          <t>IBERDROLA CLIENTES, S.A.U.</t>
        </is>
      </c>
      <c r="G45" s="50" t="inlineStr">
        <is>
          <t>A95758389</t>
        </is>
      </c>
      <c r="H45" s="50" t="inlineStr">
        <is>
          <t>España</t>
        </is>
      </c>
      <c r="I45" s="50" t="inlineStr">
        <is>
          <t>Suministro electricidad IVA reducido</t>
        </is>
      </c>
      <c r="J45" s="50" t="inlineStr">
        <is>
          <t>Electricidad periodo 23/04/2026-24/05/2026</t>
        </is>
      </c>
      <c r="K45" s="92" t="n">
        <v>47.24</v>
      </c>
      <c r="L45" s="93" t="n">
        <v>0.1</v>
      </c>
      <c r="M45" s="92" t="n">
        <v>4.72</v>
      </c>
      <c r="N45" s="92" t="n">
        <v>51.96</v>
      </c>
      <c r="O45" s="50" t="inlineStr">
        <is>
          <t>EUR</t>
        </is>
      </c>
      <c r="P45" s="92" t="n">
        <v>51.96</v>
      </c>
      <c r="Q45" s="92" t="n">
        <v>1</v>
      </c>
      <c r="R45" s="92" t="n">
        <v>0</v>
      </c>
      <c r="S45" s="92" t="n">
        <v>0</v>
      </c>
      <c r="T45" s="50" t="inlineStr">
        <is>
          <t>Suministro con IVA reducido; deducibilidad a revisar</t>
        </is>
      </c>
      <c r="U45" s="50" t="inlineStr">
        <is>
          <t>Pendiente de revisión</t>
        </is>
      </c>
      <c r="V45" s="50" t="inlineStr">
        <is>
          <t>IVA reducido 10%. Revisar porcentaje deducible por suministro de vivienda/actividad.</t>
        </is>
      </c>
      <c r="W45" s="50" t="inlineStr">
        <is>
          <t>044_2T 2026_IBERDROLA 730147370_2026-05-29-16.43.23.004307.pdf</t>
        </is>
      </c>
      <c r="X45" s="50" t="inlineStr">
        <is>
          <t>Sí</t>
        </is>
      </c>
    </row>
    <row r="46">
      <c r="A46" t="inlineStr">
        <is>
          <t>ANA BELEN FEIJOO VIDUEIRA</t>
        </is>
      </c>
      <c r="B46" t="inlineStr">
        <is>
          <t>34975084L</t>
        </is>
      </c>
      <c r="C46" t="inlineStr">
        <is>
          <t>2T 2026</t>
        </is>
      </c>
      <c r="D46" s="83" t="n">
        <v>46143</v>
      </c>
      <c r="E46" t="inlineStr">
        <is>
          <t>535263MUPA26</t>
        </is>
      </c>
      <c r="F46" t="inlineStr">
        <is>
          <t>Amazon Online Spain, S.L.U.</t>
        </is>
      </c>
      <c r="G46" t="inlineStr">
        <is>
          <t>ESB87523825</t>
        </is>
      </c>
      <c r="H46" t="inlineStr">
        <is>
          <t>España</t>
        </is>
      </c>
      <c r="I46" t="inlineStr">
        <is>
          <t>Publicidad Amazon nacional con IVA</t>
        </is>
      </c>
      <c r="J46" t="inlineStr">
        <is>
          <t>Amazon Ads - productos patrocinados y tasas regulatorias</t>
        </is>
      </c>
      <c r="K46" s="90" t="n">
        <v>534.75</v>
      </c>
      <c r="L46" s="89" t="n">
        <v>0.21</v>
      </c>
      <c r="M46" s="90" t="n">
        <v>112.3</v>
      </c>
      <c r="N46" s="90" t="n">
        <v>647.05</v>
      </c>
      <c r="O46" t="inlineStr">
        <is>
          <t>EUR</t>
        </is>
      </c>
      <c r="P46" s="84" t="n">
        <v>647.05</v>
      </c>
      <c r="Q46" s="85" t="n">
        <v>1</v>
      </c>
      <c r="R46" s="90" t="n">
        <v>0</v>
      </c>
      <c r="S46" s="90" t="n">
        <v>0</v>
      </c>
      <c r="T46" t="inlineStr">
        <is>
          <t>Gasto publicitario con IVA soportado nacional</t>
        </is>
      </c>
      <c r="U46" t="inlineStr">
        <is>
          <t>Revisado</t>
        </is>
      </c>
      <c r="V46" s="50" t="inlineStr">
        <is>
          <t>Factura Amazon Ads España con IVA 21%. Incluye campaign charges, regulatory advertising fees y ajuste de redondeo.</t>
        </is>
      </c>
      <c r="W46" s="50" t="inlineStr">
        <is>
          <t>046_2T 2026_INVOICE-535263MUPA26.pdf</t>
        </is>
      </c>
      <c r="X46" t="inlineStr">
        <is>
          <t>Sí</t>
        </is>
      </c>
    </row>
    <row r="47">
      <c r="A47" t="inlineStr">
        <is>
          <t>ANA BELEN FEIJOO VIDUEIRA</t>
        </is>
      </c>
      <c r="B47" t="inlineStr">
        <is>
          <t>34975084L</t>
        </is>
      </c>
      <c r="C47" t="inlineStr">
        <is>
          <t>2T 2026</t>
        </is>
      </c>
      <c r="D47" s="83" t="n">
        <v>46170</v>
      </c>
      <c r="E47" t="inlineStr">
        <is>
          <t>657429MUPA26</t>
        </is>
      </c>
      <c r="F47" t="inlineStr">
        <is>
          <t>Amazon Online Spain, S.L.U.</t>
        </is>
      </c>
      <c r="G47" t="inlineStr">
        <is>
          <t>ESB87523825</t>
        </is>
      </c>
      <c r="H47" t="inlineStr">
        <is>
          <t>España</t>
        </is>
      </c>
      <c r="I47" t="inlineStr">
        <is>
          <t>Publicidad Amazon nacional con IVA</t>
        </is>
      </c>
      <c r="J47" t="inlineStr">
        <is>
          <t>Amazon Ads - productos patrocinados y tasas regulatorias</t>
        </is>
      </c>
      <c r="K47" s="90" t="n">
        <v>500.47</v>
      </c>
      <c r="L47" s="89" t="n">
        <v>0.21</v>
      </c>
      <c r="M47" s="90" t="n">
        <v>105.1</v>
      </c>
      <c r="N47" s="90" t="n">
        <v>605.5700000000001</v>
      </c>
      <c r="O47" t="inlineStr">
        <is>
          <t>EUR</t>
        </is>
      </c>
      <c r="P47" s="84" t="n">
        <v>605.5700000000001</v>
      </c>
      <c r="Q47" s="85" t="n">
        <v>1</v>
      </c>
      <c r="R47" s="90" t="n">
        <v>0</v>
      </c>
      <c r="S47" s="90" t="n">
        <v>0</v>
      </c>
      <c r="T47" t="inlineStr">
        <is>
          <t>Gasto publicitario con IVA soportado nacional</t>
        </is>
      </c>
      <c r="U47" t="inlineStr">
        <is>
          <t>Revisado</t>
        </is>
      </c>
      <c r="V47" s="50" t="inlineStr">
        <is>
          <t>Factura Amazon Ads España con IVA 21%.</t>
        </is>
      </c>
      <c r="W47" s="50" t="inlineStr">
        <is>
          <t>047_2T 2026_INVOICE-657429MUPA26.pdf</t>
        </is>
      </c>
      <c r="X47" t="inlineStr">
        <is>
          <t>Sí</t>
        </is>
      </c>
    </row>
    <row r="48">
      <c r="A48" t="inlineStr">
        <is>
          <t>ANA BELEN FEIJOO VIDUEIRA</t>
        </is>
      </c>
      <c r="B48" t="inlineStr">
        <is>
          <t>34975084L</t>
        </is>
      </c>
      <c r="C48" t="inlineStr">
        <is>
          <t>2T 2026</t>
        </is>
      </c>
      <c r="D48" s="83" t="n">
        <v>46175</v>
      </c>
      <c r="E48" t="inlineStr">
        <is>
          <t>726190MUPA26</t>
        </is>
      </c>
      <c r="F48" t="inlineStr">
        <is>
          <t>Amazon Online Spain, S.L.U.</t>
        </is>
      </c>
      <c r="G48" t="inlineStr">
        <is>
          <t>ESB87523825</t>
        </is>
      </c>
      <c r="H48" t="inlineStr">
        <is>
          <t>España</t>
        </is>
      </c>
      <c r="I48" t="inlineStr">
        <is>
          <t>Publicidad Amazon nacional con IVA</t>
        </is>
      </c>
      <c r="J48" t="inlineStr">
        <is>
          <t>Amazon Ads - productos patrocinados y tasas regulatorias</t>
        </is>
      </c>
      <c r="K48" s="90" t="n">
        <v>95.31999999999999</v>
      </c>
      <c r="L48" s="89" t="n">
        <v>0.21</v>
      </c>
      <c r="M48" s="90" t="n">
        <v>20.02</v>
      </c>
      <c r="N48" s="90" t="n">
        <v>115.34</v>
      </c>
      <c r="O48" t="inlineStr">
        <is>
          <t>EUR</t>
        </is>
      </c>
      <c r="P48" s="84" t="n">
        <v>115.34</v>
      </c>
      <c r="Q48" s="85" t="n">
        <v>1</v>
      </c>
      <c r="R48" s="90" t="n">
        <v>0</v>
      </c>
      <c r="S48" s="90" t="n">
        <v>0</v>
      </c>
      <c r="T48" t="inlineStr">
        <is>
          <t>Gasto publicitario con IVA soportado nacional</t>
        </is>
      </c>
      <c r="U48" t="inlineStr">
        <is>
          <t>Revisado</t>
        </is>
      </c>
      <c r="V48" s="50" t="inlineStr">
        <is>
          <t>Factura Amazon Ads España con IVA 21%.</t>
        </is>
      </c>
      <c r="W48" s="50" t="inlineStr">
        <is>
          <t>048_2T 2026_INVOICE-726190MUPA26.pdf</t>
        </is>
      </c>
      <c r="X48" t="inlineStr">
        <is>
          <t>Sí</t>
        </is>
      </c>
    </row>
    <row r="49">
      <c r="A49" t="inlineStr">
        <is>
          <t>ANA BELEN FEIJOO VIDUEIRA</t>
        </is>
      </c>
      <c r="B49" t="inlineStr">
        <is>
          <t>34975084L</t>
        </is>
      </c>
      <c r="C49" t="inlineStr">
        <is>
          <t>2T 2026</t>
        </is>
      </c>
      <c r="D49" s="83" t="n">
        <v>46175</v>
      </c>
      <c r="E49" t="inlineStr">
        <is>
          <t>729324MTPA26</t>
        </is>
      </c>
      <c r="F49" t="inlineStr">
        <is>
          <t>Amazon Online Italy S.R.L.</t>
        </is>
      </c>
      <c r="G49" t="inlineStr">
        <is>
          <t>IT09457730969</t>
        </is>
      </c>
      <c r="H49" t="inlineStr">
        <is>
          <t>Italia</t>
        </is>
      </c>
      <c r="I49" t="inlineStr">
        <is>
          <t>Servicio intracomunitario recibido</t>
        </is>
      </c>
      <c r="J49" t="inlineStr">
        <is>
          <t>Amazon Ads Italia - productos patrocinados</t>
        </is>
      </c>
      <c r="K49" s="90" t="n">
        <v>2.51</v>
      </c>
      <c r="L49" s="89" t="n">
        <v>0</v>
      </c>
      <c r="M49" s="90" t="n">
        <v>0</v>
      </c>
      <c r="N49" s="90" t="n">
        <v>2.51</v>
      </c>
      <c r="O49" t="inlineStr">
        <is>
          <t>EUR</t>
        </is>
      </c>
      <c r="P49" s="84" t="n">
        <v>2.51</v>
      </c>
      <c r="Q49" s="85" t="n">
        <v>1</v>
      </c>
      <c r="R49" s="90" t="n">
        <v>0</v>
      </c>
      <c r="S49" s="90" t="n">
        <v>0</v>
      </c>
      <c r="T49" t="inlineStr">
        <is>
          <t>Servicio intracomunitario con inversión sujeto pasivo</t>
        </is>
      </c>
      <c r="U49" t="inlineStr">
        <is>
          <t>Pendiente de revisión</t>
        </is>
      </c>
      <c r="V49" s="50" t="inlineStr">
        <is>
          <t>Factura 0% reverse charge art. 44 y 196 Directiva IVA UE. Autorrepercutir/deducir si procede.</t>
        </is>
      </c>
      <c r="W49" s="50" t="inlineStr">
        <is>
          <t>049_2T 2026_INVOICE-729324MTPA26.pdf</t>
        </is>
      </c>
      <c r="X49" t="inlineStr">
        <is>
          <t>Sí</t>
        </is>
      </c>
    </row>
    <row r="50">
      <c r="A50" t="inlineStr">
        <is>
          <t>ANA BELEN FEIJOO VIDUEIRA</t>
        </is>
      </c>
      <c r="B50" t="inlineStr">
        <is>
          <t>34975084L</t>
        </is>
      </c>
      <c r="C50" t="inlineStr">
        <is>
          <t>2T 2026</t>
        </is>
      </c>
      <c r="D50" s="83" t="n">
        <v>46144</v>
      </c>
      <c r="E50" t="inlineStr">
        <is>
          <t>765354G5PA26</t>
        </is>
      </c>
      <c r="F50" t="inlineStr">
        <is>
          <t>Amazon Online France SAS</t>
        </is>
      </c>
      <c r="G50" t="inlineStr">
        <is>
          <t>FR64790933329</t>
        </is>
      </c>
      <c r="H50" t="inlineStr">
        <is>
          <t>Francia</t>
        </is>
      </c>
      <c r="I50" t="inlineStr">
        <is>
          <t>Servicio intracomunitario recibido</t>
        </is>
      </c>
      <c r="J50" t="inlineStr">
        <is>
          <t>Amazon Ads Francia - productos patrocinados</t>
        </is>
      </c>
      <c r="K50" s="90" t="n">
        <v>8.57</v>
      </c>
      <c r="L50" s="89" t="n">
        <v>0</v>
      </c>
      <c r="M50" s="90" t="n">
        <v>0</v>
      </c>
      <c r="N50" s="90" t="n">
        <v>8.57</v>
      </c>
      <c r="O50" t="inlineStr">
        <is>
          <t>EUR</t>
        </is>
      </c>
      <c r="P50" s="84" t="n">
        <v>8.57</v>
      </c>
      <c r="Q50" s="85" t="n">
        <v>1</v>
      </c>
      <c r="R50" s="90" t="n">
        <v>0</v>
      </c>
      <c r="S50" s="90" t="n">
        <v>0</v>
      </c>
      <c r="T50" t="inlineStr">
        <is>
          <t>Servicio intracomunitario con inversión sujeto pasivo</t>
        </is>
      </c>
      <c r="U50" t="inlineStr">
        <is>
          <t>Pendiente de revisión</t>
        </is>
      </c>
      <c r="V50" s="50" t="inlineStr">
        <is>
          <t>Factura 0% reverse charge art. 44 y 196 Directiva IVA UE. Autorrepercutir/deducir si procede.</t>
        </is>
      </c>
      <c r="W50" s="50" t="inlineStr">
        <is>
          <t>050_2T 2026_INVOICE-765354G5PA26.pdf</t>
        </is>
      </c>
      <c r="X50" t="inlineStr">
        <is>
          <t>Sí</t>
        </is>
      </c>
    </row>
    <row r="51">
      <c r="A51" t="inlineStr">
        <is>
          <t>ANA BELEN FEIJOO VIDUEIRA</t>
        </is>
      </c>
      <c r="B51" t="inlineStr">
        <is>
          <t>34975084L</t>
        </is>
      </c>
      <c r="C51" t="inlineStr">
        <is>
          <t>2T 2026</t>
        </is>
      </c>
      <c r="D51" s="83" t="n">
        <v>46175</v>
      </c>
      <c r="E51" t="inlineStr">
        <is>
          <t>963144G5PA26</t>
        </is>
      </c>
      <c r="F51" t="inlineStr">
        <is>
          <t>Amazon Online France SAS</t>
        </is>
      </c>
      <c r="G51" t="inlineStr">
        <is>
          <t>FR64790933329</t>
        </is>
      </c>
      <c r="H51" t="inlineStr">
        <is>
          <t>Francia</t>
        </is>
      </c>
      <c r="I51" t="inlineStr">
        <is>
          <t>Servicio intracomunitario recibido</t>
        </is>
      </c>
      <c r="J51" t="inlineStr">
        <is>
          <t>Amazon Ads Francia - productos patrocinados</t>
        </is>
      </c>
      <c r="K51" s="90" t="n">
        <v>30.25</v>
      </c>
      <c r="L51" s="89" t="n">
        <v>0</v>
      </c>
      <c r="M51" s="90" t="n">
        <v>0</v>
      </c>
      <c r="N51" s="90" t="n">
        <v>30.25</v>
      </c>
      <c r="O51" t="inlineStr">
        <is>
          <t>EUR</t>
        </is>
      </c>
      <c r="P51" s="84" t="n">
        <v>30.25</v>
      </c>
      <c r="Q51" s="85" t="n">
        <v>1</v>
      </c>
      <c r="R51" s="90" t="n">
        <v>0</v>
      </c>
      <c r="S51" s="90" t="n">
        <v>0</v>
      </c>
      <c r="T51" t="inlineStr">
        <is>
          <t>Servicio intracomunitario con inversión sujeto pasivo</t>
        </is>
      </c>
      <c r="U51" t="inlineStr">
        <is>
          <t>Pendiente de revisión</t>
        </is>
      </c>
      <c r="V51" s="50" t="inlineStr">
        <is>
          <t>Factura 0% reverse charge art. 44 y 196 Directiva IVA UE. Autorrepercutir/deducir si procede.</t>
        </is>
      </c>
      <c r="W51" s="50" t="inlineStr">
        <is>
          <t>051_2T 2026_INVOICE-963144G5PA26.pdf</t>
        </is>
      </c>
      <c r="X51" t="inlineStr">
        <is>
          <t>Sí</t>
        </is>
      </c>
    </row>
    <row r="52">
      <c r="A52" t="inlineStr">
        <is>
          <t>ANA BELEN FEIJOO VIDUEIRA</t>
        </is>
      </c>
      <c r="B52" t="inlineStr">
        <is>
          <t>34975084L</t>
        </is>
      </c>
      <c r="C52" t="inlineStr">
        <is>
          <t>2T 2026</t>
        </is>
      </c>
      <c r="D52" s="83" t="n">
        <v>46138</v>
      </c>
      <c r="E52" t="inlineStr">
        <is>
          <t>202786190904</t>
        </is>
      </c>
      <c r="F52" t="inlineStr">
        <is>
          <t>IONOS Cloud S.L.U.</t>
        </is>
      </c>
      <c r="G52" t="inlineStr">
        <is>
          <t>B85049435</t>
        </is>
      </c>
      <c r="H52" t="inlineStr">
        <is>
          <t>España</t>
        </is>
      </c>
      <c r="I52" t="inlineStr">
        <is>
          <t>Servicio nacional con IVA</t>
        </is>
      </c>
      <c r="J52" t="inlineStr">
        <is>
          <t>IONOS Escáner Antivirus Premium e HiDrive Business</t>
        </is>
      </c>
      <c r="K52" s="90" t="n">
        <v>8.5</v>
      </c>
      <c r="L52" s="89" t="n">
        <v>0.21</v>
      </c>
      <c r="M52" s="90" t="n">
        <v>1.79</v>
      </c>
      <c r="N52" s="90" t="n">
        <v>10.29</v>
      </c>
      <c r="O52" t="inlineStr">
        <is>
          <t>EUR</t>
        </is>
      </c>
      <c r="P52" s="84" t="n">
        <v>10.29</v>
      </c>
      <c r="Q52" s="85" t="n">
        <v>1</v>
      </c>
      <c r="R52" s="90" t="n">
        <v>0</v>
      </c>
      <c r="S52" s="90" t="n">
        <v>0</v>
      </c>
      <c r="T52" t="inlineStr">
        <is>
          <t>Gasto con IVA soportado nacional</t>
        </is>
      </c>
      <c r="U52" t="inlineStr">
        <is>
          <t>Revisado</t>
        </is>
      </c>
      <c r="V52" s="50" t="inlineStr">
        <is>
          <t>Servicios digitales/hosting con IVA 21%.</t>
        </is>
      </c>
      <c r="W52" s="50" t="inlineStr">
        <is>
          <t>052_2T 2026_IONOS factura 2026-04-26 - FA_202786190904.pdf</t>
        </is>
      </c>
      <c r="X52" t="inlineStr">
        <is>
          <t>Sí</t>
        </is>
      </c>
    </row>
    <row r="53">
      <c r="A53" t="inlineStr">
        <is>
          <t>ANA BELEN FEIJOO VIDUEIRA</t>
        </is>
      </c>
      <c r="B53" t="inlineStr">
        <is>
          <t>34975084L</t>
        </is>
      </c>
      <c r="C53" t="inlineStr">
        <is>
          <t>2T 2026</t>
        </is>
      </c>
      <c r="D53" s="83" t="n">
        <v>46168</v>
      </c>
      <c r="E53" t="inlineStr">
        <is>
          <t>202786448816</t>
        </is>
      </c>
      <c r="F53" t="inlineStr">
        <is>
          <t>IONOS Cloud S.L.U.</t>
        </is>
      </c>
      <c r="G53" t="inlineStr">
        <is>
          <t>B85049435</t>
        </is>
      </c>
      <c r="H53" t="inlineStr">
        <is>
          <t>España</t>
        </is>
      </c>
      <c r="I53" t="inlineStr">
        <is>
          <t>Servicio nacional con IVA</t>
        </is>
      </c>
      <c r="J53" t="inlineStr">
        <is>
          <t>IONOS Escáner Antivirus Premium e HiDrive Business</t>
        </is>
      </c>
      <c r="K53" s="90" t="n">
        <v>8.5</v>
      </c>
      <c r="L53" s="89" t="n">
        <v>0.21</v>
      </c>
      <c r="M53" s="90" t="n">
        <v>1.79</v>
      </c>
      <c r="N53" s="90" t="n">
        <v>10.29</v>
      </c>
      <c r="O53" t="inlineStr">
        <is>
          <t>EUR</t>
        </is>
      </c>
      <c r="P53" s="84" t="n">
        <v>10.29</v>
      </c>
      <c r="Q53" s="85" t="n">
        <v>1</v>
      </c>
      <c r="R53" s="90" t="n">
        <v>0</v>
      </c>
      <c r="S53" s="90" t="n">
        <v>0</v>
      </c>
      <c r="T53" t="inlineStr">
        <is>
          <t>Gasto con IVA soportado nacional</t>
        </is>
      </c>
      <c r="U53" t="inlineStr">
        <is>
          <t>Revisado</t>
        </is>
      </c>
      <c r="V53" s="50" t="inlineStr">
        <is>
          <t>Servicios digitales/hosting con IVA 21%.</t>
        </is>
      </c>
      <c r="W53" s="50" t="inlineStr">
        <is>
          <t>053_2T 2026_IONOS factura 2026-05-26 - FA_202786448816.pdf</t>
        </is>
      </c>
      <c r="X53" t="inlineStr">
        <is>
          <t>Sí</t>
        </is>
      </c>
    </row>
    <row r="54">
      <c r="A54" t="inlineStr">
        <is>
          <t>ANA BELEN FEIJOO VIDUEIRA</t>
        </is>
      </c>
      <c r="B54" t="inlineStr">
        <is>
          <t>34975084L</t>
        </is>
      </c>
      <c r="C54" t="inlineStr">
        <is>
          <t>2T 2026</t>
        </is>
      </c>
      <c r="D54" s="83" t="n">
        <v>46167</v>
      </c>
      <c r="E54" t="inlineStr">
        <is>
          <t>#TI669004737</t>
        </is>
      </c>
      <c r="F54" t="inlineStr">
        <is>
          <t>Navaprint Gráficas, S.L. / Navapack</t>
        </is>
      </c>
      <c r="G54" t="inlineStr">
        <is>
          <t>B31550155</t>
        </is>
      </c>
      <c r="H54" t="inlineStr">
        <is>
          <t>España</t>
        </is>
      </c>
      <c r="I54" t="inlineStr">
        <is>
          <t>Compra nacional con IVA</t>
        </is>
      </c>
      <c r="J54" t="inlineStr">
        <is>
          <t>Cajas de cartón y transporte</t>
        </is>
      </c>
      <c r="K54" s="90" t="n">
        <v>41.5</v>
      </c>
      <c r="L54" s="89" t="n">
        <v>0.21</v>
      </c>
      <c r="M54" s="90" t="n">
        <v>8.720000000000001</v>
      </c>
      <c r="N54" s="90" t="n">
        <v>50.22</v>
      </c>
      <c r="O54" t="inlineStr">
        <is>
          <t>EUR</t>
        </is>
      </c>
      <c r="P54" s="84" t="n">
        <v>50.22</v>
      </c>
      <c r="Q54" s="85" t="n">
        <v>1</v>
      </c>
      <c r="R54" s="90" t="n">
        <v>0</v>
      </c>
      <c r="S54" s="90" t="n">
        <v>0</v>
      </c>
      <c r="T54" t="inlineStr">
        <is>
          <t>Gasto con IVA soportado nacional</t>
        </is>
      </c>
      <c r="U54" t="inlineStr">
        <is>
          <t>Revisado</t>
        </is>
      </c>
      <c r="V54" s="50" t="inlineStr">
        <is>
          <t>Factura Navapack con productos y transporte al 21%.</t>
        </is>
      </c>
      <c r="W54" s="50" t="inlineStr">
        <is>
          <t>056_2T 2026_NAVAPACK #TI669004737.pdf</t>
        </is>
      </c>
      <c r="X54" t="inlineStr">
        <is>
          <t>Sí</t>
        </is>
      </c>
    </row>
    <row r="55">
      <c r="A55" t="inlineStr">
        <is>
          <t>ANA BELEN FEIJOO VIDUEIRA</t>
        </is>
      </c>
      <c r="B55" t="inlineStr">
        <is>
          <t>34975084L</t>
        </is>
      </c>
      <c r="C55" t="inlineStr">
        <is>
          <t>2T 2026</t>
        </is>
      </c>
      <c r="D55" s="83" t="n">
        <v>46156</v>
      </c>
      <c r="E55" t="inlineStr">
        <is>
          <t>#TI669004718</t>
        </is>
      </c>
      <c r="F55" t="inlineStr">
        <is>
          <t>Navaprint Gráficas, S.L. / Navapack</t>
        </is>
      </c>
      <c r="G55" t="inlineStr">
        <is>
          <t>B31550155</t>
        </is>
      </c>
      <c r="H55" t="inlineStr">
        <is>
          <t>España</t>
        </is>
      </c>
      <c r="I55" t="inlineStr">
        <is>
          <t>Compra nacional con IVA</t>
        </is>
      </c>
      <c r="J55" t="inlineStr">
        <is>
          <t>Cajas de cartón</t>
        </is>
      </c>
      <c r="K55" s="90" t="n">
        <v>102.5</v>
      </c>
      <c r="L55" s="89" t="n">
        <v>0.21</v>
      </c>
      <c r="M55" s="90" t="n">
        <v>21.53</v>
      </c>
      <c r="N55" s="90" t="n">
        <v>124.03</v>
      </c>
      <c r="O55" t="inlineStr">
        <is>
          <t>EUR</t>
        </is>
      </c>
      <c r="P55" s="84" t="n">
        <v>124.03</v>
      </c>
      <c r="Q55" s="85" t="n">
        <v>1</v>
      </c>
      <c r="R55" s="90" t="n">
        <v>0</v>
      </c>
      <c r="S55" s="90" t="n">
        <v>0</v>
      </c>
      <c r="T55" t="inlineStr">
        <is>
          <t>Gasto con IVA soportado nacional</t>
        </is>
      </c>
      <c r="U55" t="inlineStr">
        <is>
          <t>Revisado</t>
        </is>
      </c>
      <c r="V55" s="50" t="inlineStr">
        <is>
          <t>Factura Navapack con IVA 21%.</t>
        </is>
      </c>
      <c r="W55" s="50" t="inlineStr">
        <is>
          <t>057_2T 2026_NAVAPACK TI669004718.pdf</t>
        </is>
      </c>
      <c r="X55" t="inlineStr">
        <is>
          <t>Sí</t>
        </is>
      </c>
    </row>
    <row r="56">
      <c r="A56" t="inlineStr">
        <is>
          <t>ANA BELEN FEIJOO VIDUEIRA</t>
        </is>
      </c>
      <c r="B56" t="inlineStr">
        <is>
          <t>34975084L</t>
        </is>
      </c>
      <c r="C56" t="inlineStr">
        <is>
          <t>2T 2026</t>
        </is>
      </c>
      <c r="D56" s="83" t="n">
        <v>46146</v>
      </c>
      <c r="E56" t="inlineStr">
        <is>
          <t>26209102</t>
        </is>
      </c>
      <c r="F56" t="inlineStr">
        <is>
          <t>ALBERO FORTE COMPOSITE, S.L.U. / PlasticForte</t>
        </is>
      </c>
      <c r="G56" t="inlineStr">
        <is>
          <t>B54620182</t>
        </is>
      </c>
      <c r="H56" t="inlineStr">
        <is>
          <t>España</t>
        </is>
      </c>
      <c r="I56" t="inlineStr">
        <is>
          <t>Compra nacional con IVA</t>
        </is>
      </c>
      <c r="J56" t="inlineStr">
        <is>
          <t>Macetas decorativas y macetas PS</t>
        </is>
      </c>
      <c r="K56" s="90" t="n">
        <v>501.09</v>
      </c>
      <c r="L56" s="89" t="n">
        <v>0.21</v>
      </c>
      <c r="M56" s="90" t="n">
        <v>105.23</v>
      </c>
      <c r="N56" s="90" t="n">
        <v>606.3200000000001</v>
      </c>
      <c r="O56" t="inlineStr">
        <is>
          <t>EUR</t>
        </is>
      </c>
      <c r="P56" s="84" t="n">
        <v>606.3200000000001</v>
      </c>
      <c r="Q56" s="85" t="n">
        <v>1</v>
      </c>
      <c r="R56" s="90" t="n">
        <v>0</v>
      </c>
      <c r="S56" s="90" t="n">
        <v>0</v>
      </c>
      <c r="T56" t="inlineStr">
        <is>
          <t>Compra de mercancía con IVA soportado nacional</t>
        </is>
      </c>
      <c r="U56" t="inlineStr">
        <is>
          <t>Revisado</t>
        </is>
      </c>
      <c r="V56" s="50" t="inlineStr">
        <is>
          <t>Factura de mercancía al 21%. Incluye aportación SCRAP informativa.</t>
        </is>
      </c>
      <c r="W56" s="50" t="inlineStr">
        <is>
          <t>058_2T 2026_PLASTICFORTE-FRA ANA BELEN FEIJOO.pdf</t>
        </is>
      </c>
      <c r="X56" t="inlineStr">
        <is>
          <t>Sí</t>
        </is>
      </c>
    </row>
    <row r="57">
      <c r="A57" t="inlineStr">
        <is>
          <t>ANA BELEN FEIJOO VIDUEIRA</t>
        </is>
      </c>
      <c r="B57" t="inlineStr">
        <is>
          <t>34975084L</t>
        </is>
      </c>
      <c r="C57" t="inlineStr">
        <is>
          <t>2T 2026</t>
        </is>
      </c>
      <c r="D57" s="83" t="n">
        <v>46142</v>
      </c>
      <c r="E57" t="inlineStr">
        <is>
          <t>FN26-04152</t>
        </is>
      </c>
      <c r="F57" t="inlineStr">
        <is>
          <t>COMERCIAL PROJAR S.A.</t>
        </is>
      </c>
      <c r="G57" t="inlineStr">
        <is>
          <t>A46217923</t>
        </is>
      </c>
      <c r="H57" t="inlineStr">
        <is>
          <t>España</t>
        </is>
      </c>
      <c r="I57" t="inlineStr">
        <is>
          <t>Compra nacional con IVA mixto</t>
        </is>
      </c>
      <c r="J57" t="inlineStr">
        <is>
          <t>Perlita 3-9 mm 100L y transporte</t>
        </is>
      </c>
      <c r="K57" s="90" t="n">
        <v>289.33</v>
      </c>
      <c r="L57" s="89" t="n"/>
      <c r="M57" s="90" t="n">
        <v>35.09</v>
      </c>
      <c r="N57" s="90" t="n">
        <v>324.42</v>
      </c>
      <c r="O57" t="inlineStr">
        <is>
          <t>EUR</t>
        </is>
      </c>
      <c r="P57" s="84" t="n">
        <v>324.42</v>
      </c>
      <c r="Q57" s="85" t="n">
        <v>1</v>
      </c>
      <c r="R57" s="90" t="n">
        <v>0</v>
      </c>
      <c r="S57" s="90" t="n">
        <v>0</v>
      </c>
      <c r="T57" t="inlineStr">
        <is>
          <t>Compra de mercancía con IVA soportado mixto 10%/21%</t>
        </is>
      </c>
      <c r="U57" t="inlineStr">
        <is>
          <t>Revisado</t>
        </is>
      </c>
      <c r="V57" s="50" t="inlineStr">
        <is>
          <t>Base 233,33 € al 10% (IVA 23,33 €) y base 56,00 € al 21% (IVA 11,76 €).</t>
        </is>
      </c>
      <c r="W57" s="50" t="inlineStr">
        <is>
          <t>059_2T 2026_PROJAR Factura venta FN26-04152.pdf</t>
        </is>
      </c>
      <c r="X57" t="inlineStr">
        <is>
          <t>Sí</t>
        </is>
      </c>
    </row>
    <row r="58" ht="28.5" customHeight="1" s="81">
      <c r="A58" t="inlineStr">
        <is>
          <t>ANA BELEN FEIJOO VIDUEIRA</t>
        </is>
      </c>
      <c r="B58" t="inlineStr">
        <is>
          <t>34975084L</t>
        </is>
      </c>
      <c r="C58" t="inlineStr">
        <is>
          <t>2T 2026</t>
        </is>
      </c>
      <c r="D58" s="83" t="n">
        <v>46133</v>
      </c>
      <c r="E58" t="inlineStr">
        <is>
          <t>WB/1272</t>
        </is>
      </c>
      <c r="F58" t="inlineStr">
        <is>
          <t>RICARDO TERÁN S.L.</t>
        </is>
      </c>
      <c r="G58" t="inlineStr">
        <is>
          <t>B32162364</t>
        </is>
      </c>
      <c r="H58" t="inlineStr">
        <is>
          <t>España</t>
        </is>
      </c>
      <c r="I58" t="inlineStr">
        <is>
          <t>Compra nacional con IVA mixto</t>
        </is>
      </c>
      <c r="J58" t="inlineStr">
        <is>
          <t>Turba rubia fardos 250L y mensajería</t>
        </is>
      </c>
      <c r="K58" s="90" t="n">
        <v>125.77</v>
      </c>
      <c r="L58" s="89" t="n"/>
      <c r="M58" s="90" t="n">
        <v>14.62</v>
      </c>
      <c r="N58" s="90" t="n">
        <v>140.39</v>
      </c>
      <c r="O58" t="inlineStr">
        <is>
          <t>EUR</t>
        </is>
      </c>
      <c r="P58" s="84" t="n">
        <v>140.39</v>
      </c>
      <c r="Q58" s="85" t="n">
        <v>1</v>
      </c>
      <c r="R58" s="90" t="n">
        <v>0</v>
      </c>
      <c r="S58" s="90" t="n">
        <v>0</v>
      </c>
      <c r="T58" t="inlineStr">
        <is>
          <t>Compra de mercancía con IVA soportado mixto 10%/21%</t>
        </is>
      </c>
      <c r="U58" t="inlineStr">
        <is>
          <t>Revisado</t>
        </is>
      </c>
      <c r="V58" s="50" t="inlineStr">
        <is>
          <t>Base 107,27 € al 10% (IVA 10,73 €) y base 18,50 € al 21% (IVA 3,89 €).</t>
        </is>
      </c>
      <c r="W58" s="50" t="inlineStr">
        <is>
          <t>060_2T 2026_RICARDO TERAN WB0000001272 ANA BELEN FEIJOO VIDUEIRA.PDF</t>
        </is>
      </c>
      <c r="X58" t="inlineStr">
        <is>
          <t>Sí</t>
        </is>
      </c>
    </row>
    <row r="59" ht="28.5" customHeight="1" s="81">
      <c r="A59" t="inlineStr">
        <is>
          <t>ANA BELEN FEIJOO VIDUEIRA</t>
        </is>
      </c>
      <c r="B59" t="inlineStr">
        <is>
          <t>34975084L</t>
        </is>
      </c>
      <c r="C59" t="inlineStr">
        <is>
          <t>2T 2026</t>
        </is>
      </c>
      <c r="D59" s="83" t="n">
        <v>46148</v>
      </c>
      <c r="E59" t="inlineStr">
        <is>
          <t>WB/1293</t>
        </is>
      </c>
      <c r="F59" t="inlineStr">
        <is>
          <t>RICARDO TERÁN S.L.</t>
        </is>
      </c>
      <c r="G59" t="inlineStr">
        <is>
          <t>B32162364</t>
        </is>
      </c>
      <c r="H59" t="inlineStr">
        <is>
          <t>España</t>
        </is>
      </c>
      <c r="I59" t="inlineStr">
        <is>
          <t>Compra nacional con IVA mixto</t>
        </is>
      </c>
      <c r="J59" t="inlineStr">
        <is>
          <t>Tierra orquídeas 5L y mensajería</t>
        </is>
      </c>
      <c r="K59" s="90" t="n">
        <v>42.17</v>
      </c>
      <c r="L59" s="89" t="n"/>
      <c r="M59" s="90" t="n">
        <v>4.76</v>
      </c>
      <c r="N59" s="90" t="n">
        <v>46.93</v>
      </c>
      <c r="O59" t="inlineStr">
        <is>
          <t>EUR</t>
        </is>
      </c>
      <c r="P59" s="84" t="n">
        <v>46.93</v>
      </c>
      <c r="Q59" s="85" t="n">
        <v>1</v>
      </c>
      <c r="R59" s="90" t="n">
        <v>0</v>
      </c>
      <c r="S59" s="90" t="n">
        <v>0</v>
      </c>
      <c r="T59" t="inlineStr">
        <is>
          <t>Compra de mercancía con IVA soportado mixto 10%/21%</t>
        </is>
      </c>
      <c r="U59" t="inlineStr">
        <is>
          <t>Revisado</t>
        </is>
      </c>
      <c r="V59" s="50" t="inlineStr">
        <is>
          <t>Base 37,27 € al 10% (IVA 3,73 €) y base 4,90 € al 21% (IVA 1,03 €).</t>
        </is>
      </c>
      <c r="W59" s="50" t="inlineStr">
        <is>
          <t>061_2T 2026_RICARDO TERAN WB0000001293 ANA BELEN FEIJOO VIDUEIRA.PDF</t>
        </is>
      </c>
      <c r="X59" t="inlineStr">
        <is>
          <t>Sí</t>
        </is>
      </c>
    </row>
    <row r="60" ht="28.5" customHeight="1" s="81">
      <c r="A60" t="inlineStr">
        <is>
          <t>ANA BELEN FEIJOO VIDUEIRA</t>
        </is>
      </c>
      <c r="B60" t="inlineStr">
        <is>
          <t>34975084L</t>
        </is>
      </c>
      <c r="C60" t="inlineStr">
        <is>
          <t>2T 2026</t>
        </is>
      </c>
      <c r="D60" s="83" t="n">
        <v>46120</v>
      </c>
      <c r="E60" t="inlineStr">
        <is>
          <t>Adeudo seguro 08/04/2026</t>
        </is>
      </c>
      <c r="F60" t="inlineStr">
        <is>
          <t>Mutua Madrileña Automovilista</t>
        </is>
      </c>
      <c r="G60" t="inlineStr">
        <is>
          <t>ES16501V28027118</t>
        </is>
      </c>
      <c r="H60" t="inlineStr">
        <is>
          <t>España</t>
        </is>
      </c>
      <c r="I60" t="inlineStr">
        <is>
          <t>Seguro / operación exenta</t>
        </is>
      </c>
      <c r="J60" t="inlineStr">
        <is>
          <t>Seguro coche - adeudo directo</t>
        </is>
      </c>
      <c r="K60" s="90" t="n">
        <v>103.24</v>
      </c>
      <c r="L60" s="89" t="n">
        <v>0</v>
      </c>
      <c r="M60" s="90" t="n">
        <v>0</v>
      </c>
      <c r="N60" s="90" t="n">
        <v>103.24</v>
      </c>
      <c r="O60" t="inlineStr">
        <is>
          <t>EUR</t>
        </is>
      </c>
      <c r="P60" s="84" t="n">
        <v>103.24</v>
      </c>
      <c r="Q60" s="85" t="n">
        <v>1</v>
      </c>
      <c r="R60" s="90" t="n">
        <v>0</v>
      </c>
      <c r="S60" s="90" t="n">
        <v>0</v>
      </c>
      <c r="T60" t="inlineStr">
        <is>
          <t>Seguro exento sin IVA</t>
        </is>
      </c>
      <c r="U60" t="inlineStr">
        <is>
          <t>Pendiente de revisión</t>
        </is>
      </c>
      <c r="V60" s="50" t="inlineStr">
        <is>
          <t>Justificante bancario de seguro. Revisar afectación del vehículo a la actividad y deducibilidad del gasto.</t>
        </is>
      </c>
      <c r="W60" s="50" t="inlineStr">
        <is>
          <t>062_2T 2026_Seguro COche-b7e9a011-8f89-4a2f-bc68-efce6fb25377.pdf</t>
        </is>
      </c>
      <c r="X60" t="inlineStr">
        <is>
          <t>Sí</t>
        </is>
      </c>
    </row>
    <row r="61">
      <c r="A61" t="inlineStr">
        <is>
          <t>ANA BELEN FEIJOO VIDUEIRA</t>
        </is>
      </c>
      <c r="B61" t="inlineStr">
        <is>
          <t>34975084L</t>
        </is>
      </c>
      <c r="C61" t="inlineStr">
        <is>
          <t>2T 2026</t>
        </is>
      </c>
      <c r="D61" s="83" t="n">
        <v>46156</v>
      </c>
      <c r="E61" t="inlineStr">
        <is>
          <t>B 260556</t>
        </is>
      </c>
      <c r="F61" t="inlineStr">
        <is>
          <t>Leal e Soares España, S.L. / SIRO</t>
        </is>
      </c>
      <c r="G61" t="inlineStr">
        <is>
          <t>B15839475</t>
        </is>
      </c>
      <c r="H61" t="inlineStr">
        <is>
          <t>España</t>
        </is>
      </c>
      <c r="I61" t="inlineStr">
        <is>
          <t>Compra nacional con IVA</t>
        </is>
      </c>
      <c r="J61" t="inlineStr">
        <is>
          <t>Siro Orquídeas Epífitas 5L</t>
        </is>
      </c>
      <c r="K61" s="90" t="n">
        <v>466.56</v>
      </c>
      <c r="L61" s="89" t="n">
        <v>0.1</v>
      </c>
      <c r="M61" s="90" t="n">
        <v>46.66</v>
      </c>
      <c r="N61" s="90" t="n">
        <v>513.22</v>
      </c>
      <c r="O61" t="inlineStr">
        <is>
          <t>EUR</t>
        </is>
      </c>
      <c r="P61" s="84" t="n">
        <v>513.22</v>
      </c>
      <c r="Q61" s="85" t="n">
        <v>1</v>
      </c>
      <c r="R61" s="90" t="n">
        <v>0</v>
      </c>
      <c r="S61" s="90" t="n">
        <v>0</v>
      </c>
      <c r="T61" t="inlineStr">
        <is>
          <t>Compra de mercancía con IVA soportado nacional 10%</t>
        </is>
      </c>
      <c r="U61" t="inlineStr">
        <is>
          <t>Revisado</t>
        </is>
      </c>
      <c r="V61" s="50" t="inlineStr">
        <is>
          <t>Factura de mercancía al 10%.</t>
        </is>
      </c>
      <c r="W61" s="50" t="inlineStr">
        <is>
          <t>063_2T 2026_SIRO FAB260556.pdf</t>
        </is>
      </c>
      <c r="X61" t="inlineStr">
        <is>
          <t>Sí</t>
        </is>
      </c>
    </row>
    <row r="62" ht="28.5" customHeight="1" s="81">
      <c r="A62" t="inlineStr">
        <is>
          <t>ANA BELEN FEIJOO VIDUEIRA</t>
        </is>
      </c>
      <c r="B62" t="inlineStr">
        <is>
          <t>34975084L</t>
        </is>
      </c>
      <c r="C62" t="inlineStr">
        <is>
          <t>2T 2026</t>
        </is>
      </c>
      <c r="D62" s="83" t="n">
        <v>46147</v>
      </c>
      <c r="E62" t="inlineStr">
        <is>
          <t>8489491A-0017</t>
        </is>
      </c>
      <c r="F62" t="inlineStr">
        <is>
          <t>MENTORING AMZ GROUP LLC</t>
        </is>
      </c>
      <c r="G62" t="inlineStr">
        <is>
          <t>Pendiente</t>
        </is>
      </c>
      <c r="H62" t="inlineStr">
        <is>
          <t>Estados Unidos</t>
        </is>
      </c>
      <c r="I62" t="inlineStr">
        <is>
          <t>Servicio no UE recibido</t>
        </is>
      </c>
      <c r="J62" t="inlineStr">
        <is>
          <t>Club TPP Elite</t>
        </is>
      </c>
      <c r="K62" s="90" t="n">
        <v>25</v>
      </c>
      <c r="L62" s="89" t="n">
        <v>0</v>
      </c>
      <c r="M62" s="90" t="n">
        <v>0</v>
      </c>
      <c r="N62" s="90" t="n">
        <v>25</v>
      </c>
      <c r="O62" t="inlineStr">
        <is>
          <t>EUR</t>
        </is>
      </c>
      <c r="P62" s="84" t="n">
        <v>25</v>
      </c>
      <c r="Q62" s="85" t="n">
        <v>1</v>
      </c>
      <c r="R62" s="90" t="n">
        <v>0</v>
      </c>
      <c r="S62" s="90" t="n">
        <v>0</v>
      </c>
      <c r="T62" t="inlineStr">
        <is>
          <t>Servicio de proveedor no UE sin IVA español</t>
        </is>
      </c>
      <c r="U62" t="inlineStr">
        <is>
          <t>Pendiente de revisión</t>
        </is>
      </c>
      <c r="V62" s="50" t="inlineStr">
        <is>
          <t>Proveedor de EE.UU. sin IVA. Revisar posible inversión del sujeto pasivo/servicio B2B y justificante de afectación a la actividad.</t>
        </is>
      </c>
      <c r="W62" s="50" t="inlineStr">
        <is>
          <t>064_2T 2026_TPP Invoice-8489491A-0017.pdf</t>
        </is>
      </c>
      <c r="X62" t="inlineStr">
        <is>
          <t>Sí</t>
        </is>
      </c>
    </row>
    <row r="63">
      <c r="A63" s="50" t="inlineStr">
        <is>
          <t>ANA BELEN FEIJOO VIDUEIRA</t>
        </is>
      </c>
      <c r="B63" s="50" t="inlineStr">
        <is>
          <t>34975084L</t>
        </is>
      </c>
      <c r="C63" s="50" t="inlineStr">
        <is>
          <t>2T 2026</t>
        </is>
      </c>
      <c r="D63" s="115" t="n">
        <v>46146</v>
      </c>
      <c r="E63" s="50" t="inlineStr">
        <is>
          <t>R-26-000117/1</t>
        </is>
      </c>
      <c r="F63" s="50" t="inlineStr">
        <is>
          <t>CDAD PROP CAMINO CANEIRO 12</t>
        </is>
      </c>
      <c r="G63" s="50" t="inlineStr">
        <is>
          <t>ES03000H32165342</t>
        </is>
      </c>
      <c r="H63" s="50" t="inlineStr">
        <is>
          <t>España</t>
        </is>
      </c>
      <c r="I63" s="50" t="inlineStr">
        <is>
          <t>Gasto comunidad / sin IVA</t>
        </is>
      </c>
      <c r="J63" s="50" t="inlineStr">
        <is>
          <t>Comunidad propietarios Camino Caneiro 12 - recibo mayo 2026</t>
        </is>
      </c>
      <c r="K63" s="92" t="n">
        <v>140</v>
      </c>
      <c r="L63" s="93" t="n">
        <v>0</v>
      </c>
      <c r="M63" s="92" t="n">
        <v>0</v>
      </c>
      <c r="N63" s="92" t="n">
        <v>140</v>
      </c>
      <c r="O63" s="92" t="inlineStr">
        <is>
          <t>EUR</t>
        </is>
      </c>
      <c r="P63" s="92" t="n">
        <v>140</v>
      </c>
      <c r="Q63" s="92" t="n">
        <v>1</v>
      </c>
      <c r="R63" s="54" t="n">
        <v>0</v>
      </c>
      <c r="S63" s="55" t="n">
        <v>0</v>
      </c>
      <c r="T63" s="50" t="inlineStr">
        <is>
          <t>Gasto sin IVA / comunidad</t>
        </is>
      </c>
      <c r="U63" s="50" t="inlineStr">
        <is>
          <t>Pendiente de revisión</t>
        </is>
      </c>
      <c r="V63" s="50" t="inlineStr">
        <is>
          <t>Justificante bancario. Revisar afectación del inmueble/actividad y si procede deducibilidad fiscal.</t>
        </is>
      </c>
      <c r="W63" s="50" t="inlineStr">
        <is>
          <t>065_2T 2026_COMUNIDAD ABRIL.pdf</t>
        </is>
      </c>
      <c r="X63" s="50" t="inlineStr">
        <is>
          <t>Sí</t>
        </is>
      </c>
    </row>
    <row r="64">
      <c r="A64" s="50" t="inlineStr">
        <is>
          <t>ANA BELEN FEIJOO VIDUEIRA</t>
        </is>
      </c>
      <c r="B64" s="50" t="inlineStr">
        <is>
          <t>34975084L</t>
        </is>
      </c>
      <c r="C64" s="50" t="inlineStr">
        <is>
          <t>2T 2026</t>
        </is>
      </c>
      <c r="D64" s="115" t="n">
        <v>46174</v>
      </c>
      <c r="E64" s="50" t="inlineStr">
        <is>
          <t>R-26-000143/1</t>
        </is>
      </c>
      <c r="F64" s="50" t="inlineStr">
        <is>
          <t>CDAD PROP CAMINO CANEIRO 12</t>
        </is>
      </c>
      <c r="G64" s="50" t="inlineStr">
        <is>
          <t>ES03000H32165342</t>
        </is>
      </c>
      <c r="H64" s="50" t="inlineStr">
        <is>
          <t>España</t>
        </is>
      </c>
      <c r="I64" s="50" t="inlineStr">
        <is>
          <t>Gasto comunidad / sin IVA</t>
        </is>
      </c>
      <c r="J64" s="50" t="inlineStr">
        <is>
          <t>Comunidad propietarios Camino Caneiro 12 - recibo junio 2026</t>
        </is>
      </c>
      <c r="K64" s="92" t="n">
        <v>132</v>
      </c>
      <c r="L64" s="93" t="n">
        <v>0</v>
      </c>
      <c r="M64" s="92" t="n">
        <v>0</v>
      </c>
      <c r="N64" s="92" t="n">
        <v>132</v>
      </c>
      <c r="O64" s="92" t="inlineStr">
        <is>
          <t>EUR</t>
        </is>
      </c>
      <c r="P64" s="92" t="n">
        <v>132</v>
      </c>
      <c r="Q64" s="92" t="n">
        <v>1</v>
      </c>
      <c r="R64" s="54" t="n">
        <v>0</v>
      </c>
      <c r="S64" s="55" t="n">
        <v>0</v>
      </c>
      <c r="T64" s="50" t="inlineStr">
        <is>
          <t>Gasto sin IVA / comunidad</t>
        </is>
      </c>
      <c r="U64" s="50" t="inlineStr">
        <is>
          <t>Pendiente de revisión</t>
        </is>
      </c>
      <c r="V64" s="50" t="inlineStr">
        <is>
          <t>Justificante bancario. Revisar afectación del inmueble/actividad y si procede deducibilidad fiscal.</t>
        </is>
      </c>
      <c r="W64" s="50" t="inlineStr">
        <is>
          <t>066_2T 2026_COMUNIDAD MAYO.pdf</t>
        </is>
      </c>
      <c r="X64" s="50" t="inlineStr">
        <is>
          <t>Sí</t>
        </is>
      </c>
    </row>
    <row r="65">
      <c r="A65" s="50" t="inlineStr">
        <is>
          <t>ANA BELEN FEIJOO VIDUEIRA</t>
        </is>
      </c>
      <c r="B65" s="50" t="inlineStr">
        <is>
          <t>34975084L</t>
        </is>
      </c>
      <c r="C65" s="50" t="inlineStr">
        <is>
          <t>2T 2026</t>
        </is>
      </c>
      <c r="D65" s="115" t="n">
        <v>46196</v>
      </c>
      <c r="E65" s="50" t="inlineStr">
        <is>
          <t>DGFC2617513172</t>
        </is>
      </c>
      <c r="F65" s="50" t="inlineStr">
        <is>
          <t>DIGI Spain Telecom, S.A.U.</t>
        </is>
      </c>
      <c r="G65" s="50" t="inlineStr">
        <is>
          <t>A84919760</t>
        </is>
      </c>
      <c r="H65" s="50" t="inlineStr">
        <is>
          <t>España</t>
        </is>
      </c>
      <c r="I65" s="50" t="inlineStr">
        <is>
          <t>Servicio nacional con IVA</t>
        </is>
      </c>
      <c r="J65" s="50" t="inlineStr">
        <is>
          <t>Fibra SMART 500Mb local alquilado - periodo 03/06/2026-12/06/2026</t>
        </is>
      </c>
      <c r="K65" s="92" t="n">
        <v>2.67</v>
      </c>
      <c r="L65" s="93" t="n">
        <v>0.21</v>
      </c>
      <c r="M65" s="92" t="n">
        <v>0.5600000000000001</v>
      </c>
      <c r="N65" s="92" t="n">
        <v>3.23</v>
      </c>
      <c r="O65" s="92" t="inlineStr">
        <is>
          <t>EUR</t>
        </is>
      </c>
      <c r="P65" s="92" t="n">
        <v>3.23</v>
      </c>
      <c r="Q65" s="92" t="n">
        <v>1</v>
      </c>
      <c r="R65" s="54" t="n">
        <v>0</v>
      </c>
      <c r="S65" s="55" t="n">
        <v>0</v>
      </c>
      <c r="T65" s="50" t="inlineStr">
        <is>
          <t>Gasto con IVA soportado nacional</t>
        </is>
      </c>
      <c r="U65" s="50" t="inlineStr">
        <is>
          <t>Revisado</t>
        </is>
      </c>
      <c r="V65" s="50" t="inlineStr">
        <is>
          <t>Factura de telecomunicaciones del local alquilado con IVA 21%.</t>
        </is>
      </c>
      <c r="W65" s="50" t="inlineStr">
        <is>
          <t>067_2T 2026_DIGI LOCAL ALQUILADO DGFC2617513172.pdf</t>
        </is>
      </c>
      <c r="X65" s="50" t="inlineStr">
        <is>
          <t>Sí</t>
        </is>
      </c>
    </row>
    <row r="66">
      <c r="A66" s="50" t="inlineStr">
        <is>
          <t>ANA BELEN FEIJOO VIDUEIRA</t>
        </is>
      </c>
      <c r="B66" s="50" t="inlineStr">
        <is>
          <t>34975084L</t>
        </is>
      </c>
      <c r="C66" s="50" t="inlineStr">
        <is>
          <t>2T 2026</t>
        </is>
      </c>
      <c r="D66" s="115" t="n">
        <v>46189</v>
      </c>
      <c r="E66" s="50" t="inlineStr">
        <is>
          <t>CU2024268240</t>
        </is>
      </c>
      <c r="F66" s="50" t="inlineStr">
        <is>
          <t>COMPRAS SEGURAS 2015 S.L.U. / Eurogrow</t>
        </is>
      </c>
      <c r="G66" s="50" t="inlineStr">
        <is>
          <t>B05247226</t>
        </is>
      </c>
      <c r="H66" s="50" t="inlineStr">
        <is>
          <t>España</t>
        </is>
      </c>
      <c r="I66" s="50" t="inlineStr">
        <is>
          <t>Compra nacional con IVA</t>
        </is>
      </c>
      <c r="J66" s="50" t="inlineStr">
        <is>
          <t>Vermiculita 100L y productos promocionales</t>
        </is>
      </c>
      <c r="K66" s="92" t="n">
        <v>54.03</v>
      </c>
      <c r="L66" s="93" t="n">
        <v>0.21</v>
      </c>
      <c r="M66" s="92" t="n">
        <v>11.35</v>
      </c>
      <c r="N66" s="92" t="n">
        <v>65.38</v>
      </c>
      <c r="O66" s="92" t="inlineStr">
        <is>
          <t>EUR</t>
        </is>
      </c>
      <c r="P66" s="92" t="n">
        <v>65.38</v>
      </c>
      <c r="Q66" s="92" t="n">
        <v>1</v>
      </c>
      <c r="R66" s="54" t="n">
        <v>0</v>
      </c>
      <c r="S66" s="55" t="n">
        <v>0</v>
      </c>
      <c r="T66" s="50" t="inlineStr">
        <is>
          <t>Compra/gasto con IVA soportado nacional</t>
        </is>
      </c>
      <c r="U66" s="50" t="inlineStr">
        <is>
          <t>Pendiente de revisión</t>
        </is>
      </c>
      <c r="V66" s="50" t="inlineStr">
        <is>
          <t>Factura con IVA 21%. Revisar afectación de productos a la actividad.</t>
        </is>
      </c>
      <c r="W66" s="50" t="inlineStr">
        <is>
          <t>068_2T 2026_EUROGROW CU2024268240.pdf</t>
        </is>
      </c>
      <c r="X66" s="50" t="inlineStr">
        <is>
          <t>Sí</t>
        </is>
      </c>
    </row>
    <row r="67">
      <c r="A67" s="50" t="inlineStr">
        <is>
          <t>ANA BELEN FEIJOO VIDUEIRA</t>
        </is>
      </c>
      <c r="B67" s="50" t="inlineStr">
        <is>
          <t>34975084L</t>
        </is>
      </c>
      <c r="C67" s="50" t="inlineStr">
        <is>
          <t>2T 2026</t>
        </is>
      </c>
      <c r="D67" s="115" t="n">
        <v>46199</v>
      </c>
      <c r="E67" s="50" t="inlineStr">
        <is>
          <t>Q 14190</t>
        </is>
      </c>
      <c r="F67" s="50" t="inlineStr">
        <is>
          <t>FASAWORLD S.L. / Quecartucho</t>
        </is>
      </c>
      <c r="G67" s="50" t="inlineStr">
        <is>
          <t>B64713662</t>
        </is>
      </c>
      <c r="H67" s="50" t="inlineStr">
        <is>
          <t>España</t>
        </is>
      </c>
      <c r="I67" s="50" t="inlineStr">
        <is>
          <t>Compra nacional con IVA</t>
        </is>
      </c>
      <c r="J67" s="50" t="inlineStr">
        <is>
          <t>Brother DK22205 cinta continua compatible</t>
        </is>
      </c>
      <c r="K67" s="92" t="n">
        <v>50.7</v>
      </c>
      <c r="L67" s="93" t="n">
        <v>0.21</v>
      </c>
      <c r="M67" s="92" t="n">
        <v>10.65</v>
      </c>
      <c r="N67" s="92" t="n">
        <v>61.35</v>
      </c>
      <c r="O67" s="92" t="inlineStr">
        <is>
          <t>EUR</t>
        </is>
      </c>
      <c r="P67" s="92" t="n">
        <v>61.35</v>
      </c>
      <c r="Q67" s="92" t="n">
        <v>1</v>
      </c>
      <c r="R67" s="54" t="n">
        <v>0</v>
      </c>
      <c r="S67" s="55" t="n">
        <v>0</v>
      </c>
      <c r="T67" s="50" t="inlineStr">
        <is>
          <t>Gasto con IVA soportado nacional</t>
        </is>
      </c>
      <c r="U67" s="50" t="inlineStr">
        <is>
          <t>Revisado</t>
        </is>
      </c>
      <c r="V67" s="50" t="inlineStr">
        <is>
          <t>Factura española con IVA 21%.</t>
        </is>
      </c>
      <c r="W67" s="50" t="inlineStr">
        <is>
          <t>069_2T 2026_FASAWOL-QUECARTUCHO 2026-Q-14190.PDF</t>
        </is>
      </c>
      <c r="X67" s="50" t="inlineStr">
        <is>
          <t>Sí</t>
        </is>
      </c>
    </row>
    <row r="68">
      <c r="A68" s="50" t="inlineStr">
        <is>
          <t>ANA BELEN FEIJOO VIDUEIRA</t>
        </is>
      </c>
      <c r="B68" s="50" t="inlineStr">
        <is>
          <t>34975084L</t>
        </is>
      </c>
      <c r="C68" s="50" t="inlineStr">
        <is>
          <t>2T 2026</t>
        </is>
      </c>
      <c r="D68" s="115" t="n">
        <v>46143</v>
      </c>
      <c r="E68" s="50" t="inlineStr">
        <is>
          <t>CNP2601497180</t>
        </is>
      </c>
      <c r="F68" s="50" t="inlineStr">
        <is>
          <t>WEWI MOBILE S.L. / Finetwork</t>
        </is>
      </c>
      <c r="G68" s="50" t="inlineStr">
        <is>
          <t>B54865845</t>
        </is>
      </c>
      <c r="H68" s="50" t="inlineStr">
        <is>
          <t>España</t>
        </is>
      </c>
      <c r="I68" s="50" t="inlineStr">
        <is>
          <t>Servicio nacional con IVA</t>
        </is>
      </c>
      <c r="J68" s="50" t="inlineStr">
        <is>
          <t>Telefonía/fibra abril 2026</t>
        </is>
      </c>
      <c r="K68" s="92" t="n">
        <v>35.29</v>
      </c>
      <c r="L68" s="93" t="n">
        <v>0.21</v>
      </c>
      <c r="M68" s="92" t="n">
        <v>7.41</v>
      </c>
      <c r="N68" s="92" t="n">
        <v>42.7</v>
      </c>
      <c r="O68" s="92" t="inlineStr">
        <is>
          <t>EUR</t>
        </is>
      </c>
      <c r="P68" s="92" t="n">
        <v>42.7</v>
      </c>
      <c r="Q68" s="92" t="n">
        <v>1</v>
      </c>
      <c r="R68" s="54" t="n">
        <v>0</v>
      </c>
      <c r="S68" s="55" t="n">
        <v>0</v>
      </c>
      <c r="T68" s="50" t="inlineStr">
        <is>
          <t>Gasto con IVA soportado nacional</t>
        </is>
      </c>
      <c r="U68" s="50" t="inlineStr">
        <is>
          <t>Pendiente de revisión</t>
        </is>
      </c>
      <c r="V68" s="50" t="inlineStr">
        <is>
          <t>Telecomunicaciones en domicilio. Revisar afectación/deducibilidad antes de presentar.</t>
        </is>
      </c>
      <c r="W68" s="50" t="inlineStr">
        <is>
          <t>070_2T 2026_FINETWORK Factura_Abril 2026.pdf</t>
        </is>
      </c>
      <c r="X68" s="50" t="inlineStr">
        <is>
          <t>Sí</t>
        </is>
      </c>
    </row>
    <row r="69">
      <c r="A69" s="50" t="inlineStr">
        <is>
          <t>ANA BELEN FEIJOO VIDUEIRA</t>
        </is>
      </c>
      <c r="B69" s="50" t="inlineStr">
        <is>
          <t>34975084L</t>
        </is>
      </c>
      <c r="C69" s="50" t="inlineStr">
        <is>
          <t>2T 2026</t>
        </is>
      </c>
      <c r="D69" s="115" t="n">
        <v>46174</v>
      </c>
      <c r="E69" s="50" t="inlineStr">
        <is>
          <t>CNP2601864214</t>
        </is>
      </c>
      <c r="F69" s="50" t="inlineStr">
        <is>
          <t>WEWI MOBILE S.L. / Finetwork</t>
        </is>
      </c>
      <c r="G69" s="50" t="inlineStr">
        <is>
          <t>B54865845</t>
        </is>
      </c>
      <c r="H69" s="50" t="inlineStr">
        <is>
          <t>España</t>
        </is>
      </c>
      <c r="I69" s="50" t="inlineStr">
        <is>
          <t>Servicio nacional con IVA</t>
        </is>
      </c>
      <c r="J69" s="50" t="inlineStr">
        <is>
          <t>Telefonía/fibra mayo 2026</t>
        </is>
      </c>
      <c r="K69" s="92" t="n">
        <v>32.14</v>
      </c>
      <c r="L69" s="93" t="n">
        <v>0.21</v>
      </c>
      <c r="M69" s="92" t="n">
        <v>6.75</v>
      </c>
      <c r="N69" s="92" t="n">
        <v>38.89</v>
      </c>
      <c r="O69" s="92" t="inlineStr">
        <is>
          <t>EUR</t>
        </is>
      </c>
      <c r="P69" s="92" t="n">
        <v>38.89</v>
      </c>
      <c r="Q69" s="92" t="n">
        <v>1</v>
      </c>
      <c r="R69" s="54" t="n">
        <v>0</v>
      </c>
      <c r="S69" s="55" t="n">
        <v>0</v>
      </c>
      <c r="T69" s="50" t="inlineStr">
        <is>
          <t>Gasto con IVA soportado nacional</t>
        </is>
      </c>
      <c r="U69" s="50" t="inlineStr">
        <is>
          <t>Pendiente de revisión</t>
        </is>
      </c>
      <c r="V69" s="50" t="inlineStr">
        <is>
          <t>Telecomunicaciones en domicilio. Revisar afectación/deducibilidad antes de presentar.</t>
        </is>
      </c>
      <c r="W69" s="50" t="inlineStr">
        <is>
          <t>071_2T 2026_FINETWORK Factura_Mayo 2026.pdf</t>
        </is>
      </c>
      <c r="X69" s="50" t="inlineStr">
        <is>
          <t>Sí</t>
        </is>
      </c>
    </row>
    <row r="70">
      <c r="A70" s="50" t="inlineStr">
        <is>
          <t>ANA BELEN FEIJOO VIDUEIRA</t>
        </is>
      </c>
      <c r="B70" s="50" t="inlineStr">
        <is>
          <t>34975084L</t>
        </is>
      </c>
      <c r="C70" s="50" t="inlineStr">
        <is>
          <t>2T 2026</t>
        </is>
      </c>
      <c r="D70" s="115" t="n">
        <v>46204</v>
      </c>
      <c r="E70" s="50" t="inlineStr">
        <is>
          <t>CNP2602186099</t>
        </is>
      </c>
      <c r="F70" s="50" t="inlineStr">
        <is>
          <t>WEWI MOBILE S.L. / Finetwork</t>
        </is>
      </c>
      <c r="G70" s="50" t="inlineStr">
        <is>
          <t>B54865845</t>
        </is>
      </c>
      <c r="H70" s="50" t="inlineStr">
        <is>
          <t>España</t>
        </is>
      </c>
      <c r="I70" s="50" t="inlineStr">
        <is>
          <t>Servicio nacional con IVA</t>
        </is>
      </c>
      <c r="J70" s="50" t="inlineStr">
        <is>
          <t>Telefonía/fibra junio 2026; factura emitida 01/07/2026</t>
        </is>
      </c>
      <c r="K70" s="92" t="n">
        <v>32.14</v>
      </c>
      <c r="L70" s="93" t="n">
        <v>0.21</v>
      </c>
      <c r="M70" s="92" t="n">
        <v>6.75</v>
      </c>
      <c r="N70" s="92" t="n">
        <v>38.89</v>
      </c>
      <c r="O70" s="92" t="inlineStr">
        <is>
          <t>EUR</t>
        </is>
      </c>
      <c r="P70" s="92" t="n">
        <v>38.89</v>
      </c>
      <c r="Q70" s="92" t="n">
        <v>1</v>
      </c>
      <c r="R70" s="54" t="n">
        <v>0</v>
      </c>
      <c r="S70" s="55" t="n">
        <v>0</v>
      </c>
      <c r="T70" s="50" t="inlineStr">
        <is>
          <t>Gasto con IVA soportado nacional</t>
        </is>
      </c>
      <c r="U70" s="50" t="inlineStr">
        <is>
          <t>Pendiente de revisión</t>
        </is>
      </c>
      <c r="V70" s="50" t="inlineStr">
        <is>
          <t>Factura emitida 01/07 por servicio de junio. Revisar criterio de imputación/declaración en 2T.</t>
        </is>
      </c>
      <c r="W70" s="50" t="inlineStr">
        <is>
          <t>072_2T 2026_FINETWORK Factura_Junio 2026.pdf</t>
        </is>
      </c>
      <c r="X70" s="50" t="inlineStr">
        <is>
          <t>Sí</t>
        </is>
      </c>
    </row>
    <row r="71">
      <c r="A71" s="50" t="inlineStr">
        <is>
          <t>ANA BELEN FEIJOO VIDUEIRA</t>
        </is>
      </c>
      <c r="B71" s="50" t="inlineStr">
        <is>
          <t>34975084L</t>
        </is>
      </c>
      <c r="C71" s="50" t="inlineStr">
        <is>
          <t>2T 2026</t>
        </is>
      </c>
      <c r="D71" s="115" t="n">
        <v>46199</v>
      </c>
      <c r="E71" s="50" t="inlineStr">
        <is>
          <t>202786679384</t>
        </is>
      </c>
      <c r="F71" s="50" t="inlineStr">
        <is>
          <t>IONOS Cloud S.L.U.</t>
        </is>
      </c>
      <c r="G71" s="50" t="inlineStr">
        <is>
          <t>B85049435</t>
        </is>
      </c>
      <c r="H71" s="50" t="inlineStr">
        <is>
          <t>España</t>
        </is>
      </c>
      <c r="I71" s="50" t="inlineStr">
        <is>
          <t>Servicio nacional con IVA</t>
        </is>
      </c>
      <c r="J71" s="50" t="inlineStr">
        <is>
          <t>IONOS antivirus premium e HiDrive Business</t>
        </is>
      </c>
      <c r="K71" s="92" t="n">
        <v>8.5</v>
      </c>
      <c r="L71" s="93" t="n">
        <v>0.21</v>
      </c>
      <c r="M71" s="92" t="n">
        <v>1.79</v>
      </c>
      <c r="N71" s="92" t="n">
        <v>10.29</v>
      </c>
      <c r="O71" s="92" t="inlineStr">
        <is>
          <t>EUR</t>
        </is>
      </c>
      <c r="P71" s="92" t="n">
        <v>10.29</v>
      </c>
      <c r="Q71" s="92" t="n">
        <v>1</v>
      </c>
      <c r="R71" s="54" t="n">
        <v>0</v>
      </c>
      <c r="S71" s="55" t="n">
        <v>0</v>
      </c>
      <c r="T71" s="50" t="inlineStr">
        <is>
          <t>Gasto con IVA soportado nacional</t>
        </is>
      </c>
      <c r="U71" s="50" t="inlineStr">
        <is>
          <t>Revisado</t>
        </is>
      </c>
      <c r="V71" s="50" t="inlineStr">
        <is>
          <t>Factura española con IVA 21%.</t>
        </is>
      </c>
      <c r="W71" s="50" t="inlineStr">
        <is>
          <t>073_2T 2026_IONOS Factura_2026-06-26_202786679384.pdf</t>
        </is>
      </c>
      <c r="X71" s="50" t="inlineStr">
        <is>
          <t>Sí</t>
        </is>
      </c>
    </row>
    <row r="72">
      <c r="A72" s="50" t="inlineStr">
        <is>
          <t>ANA BELEN FEIJOO VIDUEIRA</t>
        </is>
      </c>
      <c r="B72" s="50" t="inlineStr">
        <is>
          <t>34975084L</t>
        </is>
      </c>
      <c r="C72" s="50" t="inlineStr">
        <is>
          <t>2T 2026</t>
        </is>
      </c>
      <c r="D72" s="115" t="n">
        <v>46193</v>
      </c>
      <c r="E72" s="50" t="inlineStr">
        <is>
          <t>058-0006-952306</t>
        </is>
      </c>
      <c r="F72" s="50" t="inlineStr">
        <is>
          <t>Leroy Merlin España S.L.U.</t>
        </is>
      </c>
      <c r="G72" s="50" t="inlineStr">
        <is>
          <t>B84818442</t>
        </is>
      </c>
      <c r="H72" s="50" t="inlineStr">
        <is>
          <t>España</t>
        </is>
      </c>
      <c r="I72" s="50" t="inlineStr">
        <is>
          <t>Compra nacional con IVA</t>
        </is>
      </c>
      <c r="J72" s="50" t="inlineStr">
        <is>
          <t>Pago anticipado pedido 702093</t>
        </is>
      </c>
      <c r="K72" s="92" t="n">
        <v>24.63</v>
      </c>
      <c r="L72" s="93" t="n">
        <v>0.21</v>
      </c>
      <c r="M72" s="92" t="n">
        <v>5.17</v>
      </c>
      <c r="N72" s="92" t="n">
        <v>29.8</v>
      </c>
      <c r="O72" s="92" t="inlineStr">
        <is>
          <t>EUR</t>
        </is>
      </c>
      <c r="P72" s="92" t="n">
        <v>29.8</v>
      </c>
      <c r="Q72" s="92" t="n">
        <v>1</v>
      </c>
      <c r="R72" s="54" t="n">
        <v>0</v>
      </c>
      <c r="S72" s="55" t="n">
        <v>0</v>
      </c>
      <c r="T72" s="50" t="inlineStr">
        <is>
          <t>Gasto con IVA soportado nacional</t>
        </is>
      </c>
      <c r="U72" s="50" t="inlineStr">
        <is>
          <t>Pendiente de revisión</t>
        </is>
      </c>
      <c r="V72" s="50" t="inlineStr">
        <is>
          <t>Factura/ticket con IVA 21%. Revisar naturaleza del gasto y afectación a la actividad.</t>
        </is>
      </c>
      <c r="W72" s="50" t="inlineStr">
        <is>
          <t>074_2T 2026_LEROY MERLIN f1f61925-0de9-4f36-be75-f84f3f5c2f4f.pdf</t>
        </is>
      </c>
      <c r="X72" s="50" t="inlineStr">
        <is>
          <t>Sí</t>
        </is>
      </c>
    </row>
    <row r="73">
      <c r="A73" s="50" t="inlineStr">
        <is>
          <t>ANA BELEN FEIJOO VIDUEIRA</t>
        </is>
      </c>
      <c r="B73" s="50" t="inlineStr">
        <is>
          <t>34975084L</t>
        </is>
      </c>
      <c r="C73" s="50" t="inlineStr">
        <is>
          <t>2T 2026</t>
        </is>
      </c>
      <c r="D73" s="115" t="n">
        <v>46192</v>
      </c>
      <c r="E73" s="50" t="inlineStr">
        <is>
          <t>#TI669004776</t>
        </is>
      </c>
      <c r="F73" s="50" t="inlineStr">
        <is>
          <t>Navaprint Gráficas, S.L. / Navapack</t>
        </is>
      </c>
      <c r="G73" s="50" t="inlineStr">
        <is>
          <t>B31550155</t>
        </is>
      </c>
      <c r="H73" s="50" t="inlineStr">
        <is>
          <t>España</t>
        </is>
      </c>
      <c r="I73" s="50" t="inlineStr">
        <is>
          <t>Compra nacional con IVA</t>
        </is>
      </c>
      <c r="J73" s="50" t="inlineStr">
        <is>
          <t>Cajas de cartón canal simple 20x20x20</t>
        </is>
      </c>
      <c r="K73" s="92" t="n">
        <v>108</v>
      </c>
      <c r="L73" s="93" t="n">
        <v>0.21</v>
      </c>
      <c r="M73" s="92" t="n">
        <v>22.68</v>
      </c>
      <c r="N73" s="92" t="n">
        <v>130.68</v>
      </c>
      <c r="O73" s="92" t="inlineStr">
        <is>
          <t>EUR</t>
        </is>
      </c>
      <c r="P73" s="92" t="n">
        <v>130.68</v>
      </c>
      <c r="Q73" s="92" t="n">
        <v>1</v>
      </c>
      <c r="R73" s="54" t="n">
        <v>0</v>
      </c>
      <c r="S73" s="55" t="n">
        <v>0</v>
      </c>
      <c r="T73" s="50" t="inlineStr">
        <is>
          <t>Gasto con IVA soportado nacional</t>
        </is>
      </c>
      <c r="U73" s="50" t="inlineStr">
        <is>
          <t>Revisado</t>
        </is>
      </c>
      <c r="V73" s="50" t="inlineStr">
        <is>
          <t>Factura Navapack con IVA 21%.</t>
        </is>
      </c>
      <c r="W73" s="50" t="inlineStr">
        <is>
          <t>075_2T 2026_NAVAPACK #TI669004776.pdf</t>
        </is>
      </c>
      <c r="X73" s="50" t="inlineStr">
        <is>
          <t>Sí</t>
        </is>
      </c>
    </row>
    <row r="74">
      <c r="A74" s="50" t="inlineStr">
        <is>
          <t>ANA BELEN FEIJOO VIDUEIRA</t>
        </is>
      </c>
      <c r="B74" s="50" t="inlineStr">
        <is>
          <t>34975084L</t>
        </is>
      </c>
      <c r="C74" s="50" t="inlineStr">
        <is>
          <t>2T 2026</t>
        </is>
      </c>
      <c r="D74" s="115" t="n">
        <v>46198</v>
      </c>
      <c r="E74" s="50" t="inlineStr">
        <is>
          <t>26213314</t>
        </is>
      </c>
      <c r="F74" s="50" t="inlineStr">
        <is>
          <t>ALBERO FORTE COMPOSITE, S.L.U. / PlasticForte</t>
        </is>
      </c>
      <c r="G74" s="50" t="inlineStr">
        <is>
          <t>B54620182</t>
        </is>
      </c>
      <c r="H74" s="50" t="inlineStr">
        <is>
          <t>España</t>
        </is>
      </c>
      <c r="I74" s="50" t="inlineStr">
        <is>
          <t>Compra nacional con IVA</t>
        </is>
      </c>
      <c r="J74" s="50" t="inlineStr">
        <is>
          <t>Macetas decorativas y platos de maceta</t>
        </is>
      </c>
      <c r="K74" s="92" t="n">
        <v>514.79</v>
      </c>
      <c r="L74" s="93" t="n">
        <v>0.21</v>
      </c>
      <c r="M74" s="92" t="n">
        <v>108.11</v>
      </c>
      <c r="N74" s="92" t="n">
        <v>622.9</v>
      </c>
      <c r="O74" s="92" t="inlineStr">
        <is>
          <t>EUR</t>
        </is>
      </c>
      <c r="P74" s="92" t="n">
        <v>622.9</v>
      </c>
      <c r="Q74" s="92" t="n">
        <v>1</v>
      </c>
      <c r="R74" s="54" t="n">
        <v>0</v>
      </c>
      <c r="S74" s="55" t="n">
        <v>0</v>
      </c>
      <c r="T74" s="50" t="inlineStr">
        <is>
          <t>Compra de mercancía con IVA soportado nacional</t>
        </is>
      </c>
      <c r="U74" s="50" t="inlineStr">
        <is>
          <t>Revisado</t>
        </is>
      </c>
      <c r="V74" s="50" t="inlineStr">
        <is>
          <t>Factura de mercancía al 21%. Incluye aportación SCRAP informativa.</t>
        </is>
      </c>
      <c r="W74" s="50" t="inlineStr">
        <is>
          <t>076_2T 2026_PLASTIC FORTE 20260625_2_13314.pdf</t>
        </is>
      </c>
      <c r="X74" s="50" t="inlineStr">
        <is>
          <t>Sí</t>
        </is>
      </c>
    </row>
    <row r="75">
      <c r="A75" s="50" t="inlineStr">
        <is>
          <t>ANA BELEN FEIJOO VIDUEIRA</t>
        </is>
      </c>
      <c r="B75" s="50" t="inlineStr">
        <is>
          <t>34975084L</t>
        </is>
      </c>
      <c r="C75" s="50" t="inlineStr">
        <is>
          <t>2T 2026</t>
        </is>
      </c>
      <c r="D75" s="115" t="n">
        <v>46205</v>
      </c>
      <c r="E75" s="50" t="inlineStr">
        <is>
          <t>1179317G5PA26</t>
        </is>
      </c>
      <c r="F75" s="50" t="inlineStr">
        <is>
          <t>Amazon Online France SAS</t>
        </is>
      </c>
      <c r="G75" s="50" t="inlineStr">
        <is>
          <t>FR64790933329</t>
        </is>
      </c>
      <c r="H75" s="50" t="inlineStr">
        <is>
          <t>Francia</t>
        </is>
      </c>
      <c r="I75" s="50" t="inlineStr">
        <is>
          <t>Servicio intracomunitario recibido</t>
        </is>
      </c>
      <c r="J75" s="50" t="inlineStr">
        <is>
          <t>Amazon Ads Francia 02/06/2026-02/07/2026</t>
        </is>
      </c>
      <c r="K75" s="92" t="n">
        <v>23.87</v>
      </c>
      <c r="L75" s="93" t="n">
        <v>0</v>
      </c>
      <c r="M75" s="92" t="n">
        <v>0</v>
      </c>
      <c r="N75" s="92" t="n">
        <v>23.87</v>
      </c>
      <c r="O75" s="92" t="inlineStr">
        <is>
          <t>EUR</t>
        </is>
      </c>
      <c r="P75" s="92" t="n">
        <v>23.87</v>
      </c>
      <c r="Q75" s="92" t="n">
        <v>1</v>
      </c>
      <c r="R75" s="54" t="n">
        <v>0</v>
      </c>
      <c r="S75" s="55" t="n">
        <v>0</v>
      </c>
      <c r="T75" s="50" t="inlineStr">
        <is>
          <t>Servicio intracomunitario con inversión sujeto pasivo</t>
        </is>
      </c>
      <c r="U75" s="50" t="inlineStr">
        <is>
          <t>Pendiente de revisión</t>
        </is>
      </c>
      <c r="V75" s="50" t="inlineStr">
        <is>
          <t>Factura 0% Francia con reverse charge. Periodo cruza 2T/3T; revisar imputación temporal y autorrepercusión.</t>
        </is>
      </c>
      <c r="W75" s="50" t="inlineStr">
        <is>
          <t>077_2T 2026_PUBLICIDAD AMAZON FRANCIA INVOICE-1179317G5PA26.pdf</t>
        </is>
      </c>
      <c r="X75" s="50" t="inlineStr">
        <is>
          <t>Sí</t>
        </is>
      </c>
    </row>
    <row r="76">
      <c r="A76" s="50" t="inlineStr">
        <is>
          <t>ANA BELEN FEIJOO VIDUEIRA</t>
        </is>
      </c>
      <c r="B76" s="50" t="inlineStr">
        <is>
          <t>34975084L</t>
        </is>
      </c>
      <c r="C76" s="50" t="inlineStr">
        <is>
          <t>2T 2026</t>
        </is>
      </c>
      <c r="D76" s="115" t="n">
        <v>46205</v>
      </c>
      <c r="E76" s="50" t="inlineStr">
        <is>
          <t>864039MUPA26</t>
        </is>
      </c>
      <c r="F76" s="50" t="inlineStr">
        <is>
          <t>Amazon Online Spain, S.L.U.</t>
        </is>
      </c>
      <c r="G76" s="50" t="inlineStr">
        <is>
          <t>B87523825</t>
        </is>
      </c>
      <c r="H76" s="50" t="inlineStr">
        <is>
          <t>España</t>
        </is>
      </c>
      <c r="I76" s="50" t="inlineStr">
        <is>
          <t>Servicio nacional con IVA</t>
        </is>
      </c>
      <c r="J76" s="50" t="inlineStr">
        <is>
          <t>Amazon Ads España 27/06/2026-02/07/2026</t>
        </is>
      </c>
      <c r="K76" s="92" t="n">
        <v>113.97</v>
      </c>
      <c r="L76" s="93" t="n">
        <v>0.21</v>
      </c>
      <c r="M76" s="92" t="n">
        <v>23.93</v>
      </c>
      <c r="N76" s="92" t="n">
        <v>137.9</v>
      </c>
      <c r="O76" s="92" t="inlineStr">
        <is>
          <t>EUR</t>
        </is>
      </c>
      <c r="P76" s="92" t="n">
        <v>137.9</v>
      </c>
      <c r="Q76" s="92" t="n">
        <v>1</v>
      </c>
      <c r="R76" s="54" t="n">
        <v>0</v>
      </c>
      <c r="S76" s="55" t="n">
        <v>0</v>
      </c>
      <c r="T76" s="50" t="inlineStr">
        <is>
          <t>Gasto con IVA soportado nacional</t>
        </is>
      </c>
      <c r="U76" s="50" t="inlineStr">
        <is>
          <t>Pendiente de revisión</t>
        </is>
      </c>
      <c r="V76" s="50" t="inlineStr">
        <is>
          <t>Factura emitida 02/07 con parte de periodo 2T. Revisar imputación temporal.</t>
        </is>
      </c>
      <c r="W76" s="50" t="inlineStr">
        <is>
          <t>078_2T 2026_PUBLICIDAD AMAZON INVOICE-864039MUPA26.pdf</t>
        </is>
      </c>
      <c r="X76" s="50" t="inlineStr">
        <is>
          <t>Sí</t>
        </is>
      </c>
    </row>
    <row r="77">
      <c r="A77" s="50" t="inlineStr">
        <is>
          <t>ANA BELEN FEIJOO VIDUEIRA</t>
        </is>
      </c>
      <c r="B77" s="50" t="inlineStr">
        <is>
          <t>34975084L</t>
        </is>
      </c>
      <c r="C77" s="50" t="inlineStr">
        <is>
          <t>2T 2026</t>
        </is>
      </c>
      <c r="D77" s="115" t="n">
        <v>46200</v>
      </c>
      <c r="E77" s="50" t="inlineStr">
        <is>
          <t>801413MUPA26</t>
        </is>
      </c>
      <c r="F77" s="50" t="inlineStr">
        <is>
          <t>Amazon Online Spain, S.L.U.</t>
        </is>
      </c>
      <c r="G77" s="50" t="inlineStr">
        <is>
          <t>B87523825</t>
        </is>
      </c>
      <c r="H77" s="50" t="inlineStr">
        <is>
          <t>España</t>
        </is>
      </c>
      <c r="I77" s="50" t="inlineStr">
        <is>
          <t>Servicio nacional con IVA</t>
        </is>
      </c>
      <c r="J77" s="50" t="inlineStr">
        <is>
          <t>Amazon Ads España 02/06/2026-27/06/2026</t>
        </is>
      </c>
      <c r="K77" s="92" t="n">
        <v>500.56</v>
      </c>
      <c r="L77" s="93" t="n">
        <v>0.21</v>
      </c>
      <c r="M77" s="92" t="n">
        <v>105.12</v>
      </c>
      <c r="N77" s="92" t="n">
        <v>605.6799999999999</v>
      </c>
      <c r="O77" s="92" t="inlineStr">
        <is>
          <t>EUR</t>
        </is>
      </c>
      <c r="P77" s="92" t="n">
        <v>605.6799999999999</v>
      </c>
      <c r="Q77" s="92" t="n">
        <v>1</v>
      </c>
      <c r="R77" s="54" t="n">
        <v>0</v>
      </c>
      <c r="S77" s="55" t="n">
        <v>0</v>
      </c>
      <c r="T77" s="50" t="inlineStr">
        <is>
          <t>Gasto con IVA soportado nacional</t>
        </is>
      </c>
      <c r="U77" s="50" t="inlineStr">
        <is>
          <t>Revisado</t>
        </is>
      </c>
      <c r="V77" s="50" t="inlineStr">
        <is>
          <t>Factura Amazon Ads España con IVA 21%.</t>
        </is>
      </c>
      <c r="W77" s="50" t="inlineStr">
        <is>
          <t>079_2T 2026_PUBLICIDAD EN AMAZON ESPAÑA INVOICE-801413MUPA26.pdf</t>
        </is>
      </c>
      <c r="X77" s="50" t="inlineStr">
        <is>
          <t>Sí</t>
        </is>
      </c>
    </row>
    <row r="78">
      <c r="A78" s="50" t="inlineStr">
        <is>
          <t>ANA BELEN FEIJOO VIDUEIRA</t>
        </is>
      </c>
      <c r="B78" s="50" t="inlineStr">
        <is>
          <t>34975084L</t>
        </is>
      </c>
      <c r="C78" s="50" t="inlineStr">
        <is>
          <t>2T 2026</t>
        </is>
      </c>
      <c r="D78" s="115" t="n">
        <v>46205</v>
      </c>
      <c r="E78" s="50" t="inlineStr">
        <is>
          <t>879336MTPA26</t>
        </is>
      </c>
      <c r="F78" s="50" t="inlineStr">
        <is>
          <t>Amazon Online Italy S.R.L.</t>
        </is>
      </c>
      <c r="G78" s="50" t="inlineStr">
        <is>
          <t>IT09457730969</t>
        </is>
      </c>
      <c r="H78" s="50" t="inlineStr">
        <is>
          <t>Italia</t>
        </is>
      </c>
      <c r="I78" s="50" t="inlineStr">
        <is>
          <t>Servicio intracomunitario recibido</t>
        </is>
      </c>
      <c r="J78" s="50" t="inlineStr">
        <is>
          <t>Amazon Ads Italia 02/06/2026-02/07/2026</t>
        </is>
      </c>
      <c r="K78" s="92" t="n">
        <v>3.61</v>
      </c>
      <c r="L78" s="93" t="n">
        <v>0</v>
      </c>
      <c r="M78" s="92" t="n">
        <v>0</v>
      </c>
      <c r="N78" s="92" t="n">
        <v>3.61</v>
      </c>
      <c r="O78" s="92" t="inlineStr">
        <is>
          <t>EUR</t>
        </is>
      </c>
      <c r="P78" s="92" t="n">
        <v>3.61</v>
      </c>
      <c r="Q78" s="92" t="n">
        <v>1</v>
      </c>
      <c r="R78" s="54" t="n">
        <v>0</v>
      </c>
      <c r="S78" s="55" t="n">
        <v>0</v>
      </c>
      <c r="T78" s="50" t="inlineStr">
        <is>
          <t>Servicio intracomunitario con inversión sujeto pasivo</t>
        </is>
      </c>
      <c r="U78" s="50" t="inlineStr">
        <is>
          <t>Pendiente de revisión</t>
        </is>
      </c>
      <c r="V78" s="50" t="inlineStr">
        <is>
          <t>Factura 0% Italia con reverse charge. Periodo cruza 2T/3T; revisar imputación temporal y autorrepercusión.</t>
        </is>
      </c>
      <c r="W78" s="50" t="inlineStr">
        <is>
          <t>080_2T 2026_PUBLIDAD EN AMAZON ITALIA INVOICE-879336MTPA26.pdf</t>
        </is>
      </c>
      <c r="X78" s="50" t="inlineStr">
        <is>
          <t>Sí</t>
        </is>
      </c>
    </row>
    <row r="79">
      <c r="A79" s="50" t="inlineStr">
        <is>
          <t>ANA BELEN FEIJOO VIDUEIRA</t>
        </is>
      </c>
      <c r="B79" s="50" t="inlineStr">
        <is>
          <t>34975084L</t>
        </is>
      </c>
      <c r="C79" s="50" t="inlineStr">
        <is>
          <t>2T 2026</t>
        </is>
      </c>
      <c r="D79" s="115" t="n">
        <v>46147</v>
      </c>
      <c r="E79" s="50" t="inlineStr">
        <is>
          <t>8489491A-0017</t>
        </is>
      </c>
      <c r="F79" s="50" t="inlineStr">
        <is>
          <t>MENTORING AMZ GROUP LLC</t>
        </is>
      </c>
      <c r="G79" s="50" t="inlineStr">
        <is>
          <t>Pendiente</t>
        </is>
      </c>
      <c r="H79" s="50" t="inlineStr">
        <is>
          <t>Estados Unidos</t>
        </is>
      </c>
      <c r="I79" s="50" t="inlineStr">
        <is>
          <t>Servicio no UE recibido</t>
        </is>
      </c>
      <c r="J79" s="50" t="inlineStr">
        <is>
          <t>Club TPP Elite</t>
        </is>
      </c>
      <c r="K79" s="92" t="n">
        <v>25</v>
      </c>
      <c r="L79" s="93" t="n">
        <v>0</v>
      </c>
      <c r="M79" s="92" t="n">
        <v>0</v>
      </c>
      <c r="N79" s="92" t="n">
        <v>25</v>
      </c>
      <c r="O79" s="92" t="inlineStr">
        <is>
          <t>EUR</t>
        </is>
      </c>
      <c r="P79" s="92" t="n">
        <v>25</v>
      </c>
      <c r="Q79" s="92" t="n">
        <v>1</v>
      </c>
      <c r="R79" s="54" t="n">
        <v>0</v>
      </c>
      <c r="S79" s="55" t="n">
        <v>0</v>
      </c>
      <c r="T79" s="50" t="inlineStr">
        <is>
          <t>Servicio de proveedor no UE sin IVA español</t>
        </is>
      </c>
      <c r="U79" s="50" t="inlineStr">
        <is>
          <t>Pendiente de revisión</t>
        </is>
      </c>
      <c r="V79" s="50" t="inlineStr">
        <is>
          <t>Proveedor de EE.UU. sin IVA. Revisar posible inversión del sujeto pasivo/servicio B2B y justificante de afectación a la actividad.</t>
        </is>
      </c>
      <c r="W79" s="50" t="inlineStr">
        <is>
          <t>064_2T 2026_TPP Invoice-8489491A-0017.pdf</t>
        </is>
      </c>
      <c r="X79" s="50" t="inlineStr">
        <is>
          <t>Sí</t>
        </is>
      </c>
    </row>
    <row r="80">
      <c r="A80" t="inlineStr">
        <is>
          <t>ANA BELEN FEIJOO VIDUEIRA</t>
        </is>
      </c>
      <c r="B80" t="inlineStr">
        <is>
          <t>34975084L</t>
        </is>
      </c>
      <c r="C80" t="inlineStr">
        <is>
          <t>2T 2026</t>
        </is>
      </c>
      <c r="D80" s="83" t="n">
        <v>46147</v>
      </c>
      <c r="E80" t="inlineStr">
        <is>
          <t>8489491A-0017</t>
        </is>
      </c>
      <c r="F80" t="inlineStr">
        <is>
          <t>MENTORING AMZ GROUP LLC</t>
        </is>
      </c>
      <c r="G80" t="inlineStr">
        <is>
          <t>Pendiente</t>
        </is>
      </c>
      <c r="H80" t="inlineStr">
        <is>
          <t>Estados Unidos</t>
        </is>
      </c>
      <c r="I80" t="inlineStr">
        <is>
          <t>Servicio no UE recibido</t>
        </is>
      </c>
      <c r="J80" t="inlineStr">
        <is>
          <t>Club TPP Elite</t>
        </is>
      </c>
      <c r="K80" s="84" t="n">
        <v>25</v>
      </c>
      <c r="L80" s="85" t="n">
        <v>0</v>
      </c>
      <c r="M80" s="84" t="n">
        <v>0</v>
      </c>
      <c r="N80" s="84" t="n">
        <v>25</v>
      </c>
      <c r="O80" t="inlineStr">
        <is>
          <t>EUR</t>
        </is>
      </c>
      <c r="P80" s="84" t="n">
        <v>25</v>
      </c>
      <c r="Q80" s="85" t="n">
        <v>1</v>
      </c>
      <c r="R80" s="85" t="n">
        <v>0</v>
      </c>
      <c r="S80" s="84" t="n">
        <v>0</v>
      </c>
      <c r="T80" t="inlineStr">
        <is>
          <t>Servicio de proveedor no UE sin IVA español</t>
        </is>
      </c>
      <c r="U80" t="inlineStr">
        <is>
          <t>Pendiente de revisión</t>
        </is>
      </c>
      <c r="V80" t="inlineStr">
        <is>
          <t>Proveedor de EE.UU. sin IVA. Revisar posible inversión del sujeto pasivo/servicio B2B y justificante de afectación a la actividad.</t>
        </is>
      </c>
      <c r="W80" t="inlineStr">
        <is>
          <t>064_2T 2026_TPP Invoice-8489491A-0017.pdf</t>
        </is>
      </c>
      <c r="X80" t="inlineStr">
        <is>
          <t>Sí</t>
        </is>
      </c>
    </row>
    <row r="81">
      <c r="A81" t="inlineStr">
        <is>
          <t>ANA BELEN FEIJOO VIDUEIRA</t>
        </is>
      </c>
      <c r="B81" t="inlineStr">
        <is>
          <t>34975084L</t>
        </is>
      </c>
      <c r="C81" t="inlineStr">
        <is>
          <t>2T 2026</t>
        </is>
      </c>
      <c r="D81" s="116" t="n">
        <v>46183</v>
      </c>
      <c r="E81" t="inlineStr">
        <is>
          <t>WB/1368</t>
        </is>
      </c>
      <c r="F81" t="inlineStr">
        <is>
          <t>RICARDO TERÁN, S.L.</t>
        </is>
      </c>
      <c r="G81" t="inlineStr">
        <is>
          <t>B32162364</t>
        </is>
      </c>
      <c r="H81" t="inlineStr">
        <is>
          <t>España</t>
        </is>
      </c>
      <c r="I81" t="inlineStr">
        <is>
          <t>Compra nacional con IVA 10%</t>
        </is>
      </c>
      <c r="J81" t="inlineStr">
        <is>
          <t>Turba rubia fardos 250L</t>
        </is>
      </c>
      <c r="K81" s="90" t="n">
        <v>53.64</v>
      </c>
      <c r="L81" s="89" t="n">
        <v>0.1</v>
      </c>
      <c r="M81" s="90" t="n">
        <v>5.36</v>
      </c>
      <c r="N81" s="90" t="n">
        <v>59</v>
      </c>
      <c r="O81" s="90" t="inlineStr">
        <is>
          <t>EUR</t>
        </is>
      </c>
      <c r="P81" s="90" t="n">
        <v>59</v>
      </c>
      <c r="Q81" s="90" t="n">
        <v>1</v>
      </c>
      <c r="R81" s="85" t="n">
        <v>0</v>
      </c>
      <c r="S81" s="84" t="n">
        <v>0</v>
      </c>
      <c r="T81" t="inlineStr">
        <is>
          <t>Gasto/mercancía con IVA soportado nacional 10%</t>
        </is>
      </c>
      <c r="U81" t="inlineStr">
        <is>
          <t>Revisado</t>
        </is>
      </c>
      <c r="V81" t="inlineStr">
        <is>
          <t>Factura con base 10% separada de portes al 21%.</t>
        </is>
      </c>
      <c r="W81" t="inlineStr">
        <is>
          <t>081_2T 2026_RICARDO TERAN WB0000001368.PDF</t>
        </is>
      </c>
      <c r="X81" t="inlineStr">
        <is>
          <t>Sí</t>
        </is>
      </c>
    </row>
    <row r="82">
      <c r="A82" t="inlineStr">
        <is>
          <t>ANA BELEN FEIJOO VIDUEIRA</t>
        </is>
      </c>
      <c r="B82" t="inlineStr">
        <is>
          <t>34975084L</t>
        </is>
      </c>
      <c r="C82" t="inlineStr">
        <is>
          <t>2T 2026</t>
        </is>
      </c>
      <c r="D82" s="116" t="n">
        <v>46183</v>
      </c>
      <c r="E82" t="inlineStr">
        <is>
          <t>WB/1368</t>
        </is>
      </c>
      <c r="F82" t="inlineStr">
        <is>
          <t>RICARDO TERÁN, S.L.</t>
        </is>
      </c>
      <c r="G82" t="inlineStr">
        <is>
          <t>B32162364</t>
        </is>
      </c>
      <c r="H82" t="inlineStr">
        <is>
          <t>España</t>
        </is>
      </c>
      <c r="I82" t="inlineStr">
        <is>
          <t>Servicio nacional con IVA 21%</t>
        </is>
      </c>
      <c r="J82" t="inlineStr">
        <is>
          <t>Servicio de mensajería asociado a factura WB/1368</t>
        </is>
      </c>
      <c r="K82" s="90" t="n">
        <v>11</v>
      </c>
      <c r="L82" s="89" t="n">
        <v>0.21</v>
      </c>
      <c r="M82" s="90" t="n">
        <v>2.31</v>
      </c>
      <c r="N82" s="90" t="n">
        <v>13.31</v>
      </c>
      <c r="O82" s="90" t="inlineStr">
        <is>
          <t>EUR</t>
        </is>
      </c>
      <c r="P82" s="90" t="n">
        <v>13.31</v>
      </c>
      <c r="Q82" s="90" t="n">
        <v>1</v>
      </c>
      <c r="R82" s="85" t="n">
        <v>0</v>
      </c>
      <c r="S82" s="84" t="n">
        <v>0</v>
      </c>
      <c r="T82" t="inlineStr">
        <is>
          <t>Gasto con IVA soportado nacional</t>
        </is>
      </c>
      <c r="U82" t="inlineStr">
        <is>
          <t>Revisado</t>
        </is>
      </c>
      <c r="V82" t="inlineStr">
        <is>
          <t>Portes de factura Ricardo Terán al 21%.</t>
        </is>
      </c>
      <c r="W82" t="inlineStr">
        <is>
          <t>081_2T 2026_RICARDO TERAN WB0000001368.PDF</t>
        </is>
      </c>
      <c r="X82" t="inlineStr">
        <is>
          <t>Sí</t>
        </is>
      </c>
    </row>
    <row r="83">
      <c r="A83" t="inlineStr">
        <is>
          <t>ANA BELEN FEIJOO VIDUEIRA</t>
        </is>
      </c>
      <c r="B83" t="inlineStr">
        <is>
          <t>34975084L</t>
        </is>
      </c>
      <c r="C83" t="inlineStr">
        <is>
          <t>2T 2026</t>
        </is>
      </c>
      <c r="D83" s="116" t="n">
        <v>46196</v>
      </c>
      <c r="E83" t="inlineStr">
        <is>
          <t>WB/1385</t>
        </is>
      </c>
      <c r="F83" t="inlineStr">
        <is>
          <t>RICARDO TERÁN, S.L.</t>
        </is>
      </c>
      <c r="G83" t="inlineStr">
        <is>
          <t>B32162364</t>
        </is>
      </c>
      <c r="H83" t="inlineStr">
        <is>
          <t>España</t>
        </is>
      </c>
      <c r="I83" t="inlineStr">
        <is>
          <t>Compra nacional con IVA 10%</t>
        </is>
      </c>
      <c r="J83" t="inlineStr">
        <is>
          <t>Turba rubia fardos 250L y tierra cactus 5L</t>
        </is>
      </c>
      <c r="K83" s="90" t="n">
        <v>60.46</v>
      </c>
      <c r="L83" s="89" t="n">
        <v>0.1</v>
      </c>
      <c r="M83" s="90" t="n">
        <v>6.05</v>
      </c>
      <c r="N83" s="90" t="n">
        <v>66.51000000000001</v>
      </c>
      <c r="O83" s="90" t="inlineStr">
        <is>
          <t>EUR</t>
        </is>
      </c>
      <c r="P83" s="90" t="n">
        <v>66.51000000000001</v>
      </c>
      <c r="Q83" s="90" t="n">
        <v>1</v>
      </c>
      <c r="R83" s="85" t="n">
        <v>0</v>
      </c>
      <c r="S83" s="84" t="n">
        <v>0</v>
      </c>
      <c r="T83" t="inlineStr">
        <is>
          <t>Gasto/mercancía con IVA soportado nacional 10%</t>
        </is>
      </c>
      <c r="U83" t="inlineStr">
        <is>
          <t>Revisado</t>
        </is>
      </c>
      <c r="V83" t="inlineStr">
        <is>
          <t>Factura con base 10% separada de portes al 21%.</t>
        </is>
      </c>
      <c r="W83" t="inlineStr">
        <is>
          <t>082_2T 2026_RICARDO TERAN WB0000001385.PDF</t>
        </is>
      </c>
      <c r="X83" t="inlineStr">
        <is>
          <t>Sí</t>
        </is>
      </c>
    </row>
    <row r="84">
      <c r="A84" t="inlineStr">
        <is>
          <t>ANA BELEN FEIJOO VIDUEIRA</t>
        </is>
      </c>
      <c r="B84" t="inlineStr">
        <is>
          <t>34975084L</t>
        </is>
      </c>
      <c r="C84" t="inlineStr">
        <is>
          <t>2T 2026</t>
        </is>
      </c>
      <c r="D84" s="116" t="n">
        <v>46196</v>
      </c>
      <c r="E84" t="inlineStr">
        <is>
          <t>WB/1385</t>
        </is>
      </c>
      <c r="F84" t="inlineStr">
        <is>
          <t>RICARDO TERÁN, S.L.</t>
        </is>
      </c>
      <c r="G84" t="inlineStr">
        <is>
          <t>B32162364</t>
        </is>
      </c>
      <c r="H84" t="inlineStr">
        <is>
          <t>España</t>
        </is>
      </c>
      <c r="I84" t="inlineStr">
        <is>
          <t>Servicio nacional con IVA 21%</t>
        </is>
      </c>
      <c r="J84" t="inlineStr">
        <is>
          <t>Servicio de mensajería asociado a factura WB/1385</t>
        </is>
      </c>
      <c r="K84" s="90" t="n">
        <v>11</v>
      </c>
      <c r="L84" s="89" t="n">
        <v>0.21</v>
      </c>
      <c r="M84" s="90" t="n">
        <v>2.31</v>
      </c>
      <c r="N84" s="90" t="n">
        <v>13.31</v>
      </c>
      <c r="O84" s="90" t="inlineStr">
        <is>
          <t>EUR</t>
        </is>
      </c>
      <c r="P84" s="90" t="n">
        <v>13.31</v>
      </c>
      <c r="Q84" s="90" t="n">
        <v>1</v>
      </c>
      <c r="R84" s="85" t="n">
        <v>0</v>
      </c>
      <c r="S84" s="84" t="n">
        <v>0</v>
      </c>
      <c r="T84" t="inlineStr">
        <is>
          <t>Gasto con IVA soportado nacional</t>
        </is>
      </c>
      <c r="U84" t="inlineStr">
        <is>
          <t>Revisado</t>
        </is>
      </c>
      <c r="V84" t="inlineStr">
        <is>
          <t>Portes de factura Ricardo Terán al 21%.</t>
        </is>
      </c>
      <c r="W84" t="inlineStr">
        <is>
          <t>082_2T 2026_RICARDO TERAN WB0000001385.PDF</t>
        </is>
      </c>
      <c r="X84" t="inlineStr">
        <is>
          <t>Sí</t>
        </is>
      </c>
    </row>
    <row r="85">
      <c r="A85" t="inlineStr">
        <is>
          <t>ANA BELEN FEIJOO VIDUEIRA</t>
        </is>
      </c>
      <c r="B85" t="inlineStr">
        <is>
          <t>34975084L</t>
        </is>
      </c>
      <c r="C85" t="inlineStr">
        <is>
          <t>2T 2026</t>
        </is>
      </c>
      <c r="D85" s="116" t="n">
        <v>46118</v>
      </c>
      <c r="E85" t="inlineStr">
        <is>
          <t>BBVA PLAN ESTARSEGURO ABRIL</t>
        </is>
      </c>
      <c r="F85" t="inlineStr">
        <is>
          <t>BBVA / Plan EstarSeguro</t>
        </is>
      </c>
      <c r="G85" t="inlineStr">
        <is>
          <t>Pendiente</t>
        </is>
      </c>
      <c r="H85" t="inlineStr">
        <is>
          <t>España</t>
        </is>
      </c>
      <c r="I85" t="inlineStr">
        <is>
          <t>Seguro / gasto financiero sin IVA</t>
        </is>
      </c>
      <c r="J85" t="inlineStr">
        <is>
          <t>Seguro préstamo abril</t>
        </is>
      </c>
      <c r="K85" s="90" t="n">
        <v>42.46</v>
      </c>
      <c r="L85" s="89" t="n">
        <v>0</v>
      </c>
      <c r="M85" s="90" t="n">
        <v>0</v>
      </c>
      <c r="N85" s="90" t="n">
        <v>42.46</v>
      </c>
      <c r="O85" s="90" t="inlineStr">
        <is>
          <t>EUR</t>
        </is>
      </c>
      <c r="P85" s="90" t="n">
        <v>42.46</v>
      </c>
      <c r="Q85" s="90" t="n">
        <v>1</v>
      </c>
      <c r="R85" s="85" t="n">
        <v>0</v>
      </c>
      <c r="S85" s="84" t="n">
        <v>0</v>
      </c>
      <c r="T85" t="inlineStr">
        <is>
          <t>Gasto sin IVA / seguro</t>
        </is>
      </c>
      <c r="U85" t="inlineStr">
        <is>
          <t>Pendiente de revisión</t>
        </is>
      </c>
      <c r="V85" t="inlineStr">
        <is>
          <t>Justificante bancario. Revisar afectación al préstamo/actividad y deducibilidad fiscal.</t>
        </is>
      </c>
      <c r="W85" t="inlineStr">
        <is>
          <t>083_2T 2026_SEGURO PRESTAMO ABRIL.pdf</t>
        </is>
      </c>
      <c r="X85" t="inlineStr">
        <is>
          <t>Sí</t>
        </is>
      </c>
    </row>
    <row r="86">
      <c r="A86" t="inlineStr">
        <is>
          <t>ANA BELEN FEIJOO VIDUEIRA</t>
        </is>
      </c>
      <c r="B86" t="inlineStr">
        <is>
          <t>34975084L</t>
        </is>
      </c>
      <c r="C86" t="inlineStr">
        <is>
          <t>2T 2026</t>
        </is>
      </c>
      <c r="D86" s="116" t="n">
        <v>46148</v>
      </c>
      <c r="E86" t="inlineStr">
        <is>
          <t>BBVA PLAN ESTARSEGURO MAYO</t>
        </is>
      </c>
      <c r="F86" t="inlineStr">
        <is>
          <t>BBVA / Plan EstarSeguro</t>
        </is>
      </c>
      <c r="G86" t="inlineStr">
        <is>
          <t>Pendiente</t>
        </is>
      </c>
      <c r="H86" t="inlineStr">
        <is>
          <t>España</t>
        </is>
      </c>
      <c r="I86" t="inlineStr">
        <is>
          <t>Seguro / gasto financiero sin IVA</t>
        </is>
      </c>
      <c r="J86" t="inlineStr">
        <is>
          <t>Seguro préstamo mayo</t>
        </is>
      </c>
      <c r="K86" s="90" t="n">
        <v>42.46</v>
      </c>
      <c r="L86" s="89" t="n">
        <v>0</v>
      </c>
      <c r="M86" s="90" t="n">
        <v>0</v>
      </c>
      <c r="N86" s="90" t="n">
        <v>42.46</v>
      </c>
      <c r="O86" s="90" t="inlineStr">
        <is>
          <t>EUR</t>
        </is>
      </c>
      <c r="P86" s="90" t="n">
        <v>42.46</v>
      </c>
      <c r="Q86" s="90" t="n">
        <v>1</v>
      </c>
      <c r="R86" s="85" t="n">
        <v>0</v>
      </c>
      <c r="S86" s="84" t="n">
        <v>0</v>
      </c>
      <c r="T86" t="inlineStr">
        <is>
          <t>Gasto sin IVA / seguro</t>
        </is>
      </c>
      <c r="U86" t="inlineStr">
        <is>
          <t>Pendiente de revisión</t>
        </is>
      </c>
      <c r="V86" t="inlineStr">
        <is>
          <t>Justificante bancario. Revisar afectación al préstamo/actividad y deducibilidad fiscal.</t>
        </is>
      </c>
      <c r="W86" t="inlineStr">
        <is>
          <t>084_2T 2026_SEGURO PRESTAMO MAYO.pdf</t>
        </is>
      </c>
      <c r="X86" t="inlineStr">
        <is>
          <t>Sí</t>
        </is>
      </c>
    </row>
    <row r="87">
      <c r="A87" t="inlineStr">
        <is>
          <t>ANA BELEN FEIJOO VIDUEIRA</t>
        </is>
      </c>
      <c r="B87" t="inlineStr">
        <is>
          <t>34975084L</t>
        </is>
      </c>
      <c r="C87" t="inlineStr">
        <is>
          <t>2T 2026</t>
        </is>
      </c>
      <c r="D87" s="116" t="n">
        <v>46177</v>
      </c>
      <c r="E87" t="inlineStr">
        <is>
          <t>BBVA PLAN ESTARSEGURO JUNIO</t>
        </is>
      </c>
      <c r="F87" t="inlineStr">
        <is>
          <t>BBVA / Plan EstarSeguro</t>
        </is>
      </c>
      <c r="G87" t="inlineStr">
        <is>
          <t>Pendiente</t>
        </is>
      </c>
      <c r="H87" t="inlineStr">
        <is>
          <t>España</t>
        </is>
      </c>
      <c r="I87" t="inlineStr">
        <is>
          <t>Seguro / gasto financiero sin IVA</t>
        </is>
      </c>
      <c r="J87" t="inlineStr">
        <is>
          <t>Seguro préstamo junio</t>
        </is>
      </c>
      <c r="K87" s="90" t="n">
        <v>42.41</v>
      </c>
      <c r="L87" s="89" t="n">
        <v>0</v>
      </c>
      <c r="M87" s="90" t="n">
        <v>0</v>
      </c>
      <c r="N87" s="90" t="n">
        <v>42.41</v>
      </c>
      <c r="O87" s="90" t="inlineStr">
        <is>
          <t>EUR</t>
        </is>
      </c>
      <c r="P87" s="90" t="n">
        <v>42.41</v>
      </c>
      <c r="Q87" s="90" t="n">
        <v>1</v>
      </c>
      <c r="R87" s="85" t="n">
        <v>0</v>
      </c>
      <c r="S87" s="84" t="n">
        <v>0</v>
      </c>
      <c r="T87" t="inlineStr">
        <is>
          <t>Gasto sin IVA / seguro</t>
        </is>
      </c>
      <c r="U87" t="inlineStr">
        <is>
          <t>Pendiente de revisión</t>
        </is>
      </c>
      <c r="V87" t="inlineStr">
        <is>
          <t>Justificante bancario. Revisar afectación al préstamo/actividad y deducibilidad fiscal.</t>
        </is>
      </c>
      <c r="W87" t="inlineStr">
        <is>
          <t>085_2T 2026_SEGURO PRESTAMO JUNIO.pdf</t>
        </is>
      </c>
      <c r="X87" t="inlineStr">
        <is>
          <t>Sí</t>
        </is>
      </c>
    </row>
    <row r="88">
      <c r="A88" t="inlineStr">
        <is>
          <t>ANA BELEN FEIJOO VIDUEIRA</t>
        </is>
      </c>
      <c r="B88" t="inlineStr">
        <is>
          <t>34975084L</t>
        </is>
      </c>
      <c r="C88" t="inlineStr">
        <is>
          <t>2T 2026</t>
        </is>
      </c>
      <c r="D88" s="116" t="n">
        <v>46173</v>
      </c>
      <c r="E88" t="inlineStr">
        <is>
          <t>PQAPRKNC-2026-05</t>
        </is>
      </c>
      <c r="F88" t="inlineStr">
        <is>
          <t>Stripe Payments Europe, Limited</t>
        </is>
      </c>
      <c r="G88" t="inlineStr">
        <is>
          <t>IE3206488LH</t>
        </is>
      </c>
      <c r="H88" t="inlineStr">
        <is>
          <t>Irlanda</t>
        </is>
      </c>
      <c r="I88" t="inlineStr">
        <is>
          <t>Servicio intracomunitario recibido</t>
        </is>
      </c>
      <c r="J88" t="inlineStr">
        <is>
          <t>Stripe Processing Fees mayo 2026</t>
        </is>
      </c>
      <c r="K88" s="90" t="n">
        <v>1.01</v>
      </c>
      <c r="L88" s="89" t="n">
        <v>0</v>
      </c>
      <c r="M88" s="90" t="n">
        <v>0</v>
      </c>
      <c r="N88" s="90" t="n">
        <v>1.01</v>
      </c>
      <c r="O88" s="90" t="inlineStr">
        <is>
          <t>EUR</t>
        </is>
      </c>
      <c r="P88" s="90" t="n">
        <v>1.01</v>
      </c>
      <c r="Q88" s="90" t="n">
        <v>1</v>
      </c>
      <c r="R88" s="85" t="n">
        <v>0</v>
      </c>
      <c r="S88" s="84" t="n">
        <v>0</v>
      </c>
      <c r="T88" t="inlineStr">
        <is>
          <t>Servicio intracomunitario con inversión sujeto pasivo</t>
        </is>
      </c>
      <c r="U88" t="inlineStr">
        <is>
          <t>Pendiente de revisión</t>
        </is>
      </c>
      <c r="V88" t="inlineStr">
        <is>
          <t>Factura Irlanda sin VAT. NIF cliente no informado en factura; revisar datos fiscales de Stripe y autorrepercusión.</t>
        </is>
      </c>
      <c r="W88" t="inlineStr">
        <is>
          <t>086_2T 2026_Stripe Tax Invoice PQAPRKNC-2026-05.pdf</t>
        </is>
      </c>
      <c r="X88" t="inlineStr">
        <is>
          <t>Sí</t>
        </is>
      </c>
    </row>
    <row r="89">
      <c r="A89" t="inlineStr">
        <is>
          <t>ANA BELEN FEIJOO VIDUEIRA</t>
        </is>
      </c>
      <c r="B89" t="inlineStr">
        <is>
          <t>34975084L</t>
        </is>
      </c>
      <c r="C89" t="inlineStr">
        <is>
          <t>2T 2026</t>
        </is>
      </c>
      <c r="D89" s="116" t="n">
        <v>46178</v>
      </c>
      <c r="E89" t="inlineStr">
        <is>
          <t>8489491A-0018</t>
        </is>
      </c>
      <c r="F89" t="inlineStr">
        <is>
          <t>MENTORING AMZ GROUP LLC</t>
        </is>
      </c>
      <c r="G89" t="inlineStr">
        <is>
          <t>Pendiente</t>
        </is>
      </c>
      <c r="H89" t="inlineStr">
        <is>
          <t>Estados Unidos</t>
        </is>
      </c>
      <c r="I89" t="inlineStr">
        <is>
          <t>Servicio no UE recibido</t>
        </is>
      </c>
      <c r="J89" t="inlineStr">
        <is>
          <t>Club TPP Elite 05/06/2026-05/07/2026</t>
        </is>
      </c>
      <c r="K89" s="90" t="n">
        <v>25</v>
      </c>
      <c r="L89" s="89" t="n">
        <v>0</v>
      </c>
      <c r="M89" s="90" t="n">
        <v>0</v>
      </c>
      <c r="N89" s="90" t="n">
        <v>25</v>
      </c>
      <c r="O89" s="90" t="inlineStr">
        <is>
          <t>EUR</t>
        </is>
      </c>
      <c r="P89" s="90" t="n">
        <v>25</v>
      </c>
      <c r="Q89" s="90" t="n">
        <v>1</v>
      </c>
      <c r="R89" s="85" t="n">
        <v>0</v>
      </c>
      <c r="S89" s="84" t="n">
        <v>0</v>
      </c>
      <c r="T89" t="inlineStr">
        <is>
          <t>Servicio de proveedor no UE sin IVA español</t>
        </is>
      </c>
      <c r="U89" t="inlineStr">
        <is>
          <t>Pendiente de revisión</t>
        </is>
      </c>
      <c r="V89" t="inlineStr">
        <is>
          <t>Proveedor de EE.UU. sin IVA. Revisar inversión sujeto pasivo y afectación a la actividad.</t>
        </is>
      </c>
      <c r="W89" t="inlineStr">
        <is>
          <t>087_2T 2026_TPP Invoice-8489491A-0018.pdf</t>
        </is>
      </c>
      <c r="X89" t="inlineStr">
        <is>
          <t>Sí</t>
        </is>
      </c>
    </row>
    <row r="90">
      <c r="A90" t="inlineStr">
        <is>
          <t>ANA BELEN FEIJOO VIDUEIRA</t>
        </is>
      </c>
      <c r="B90" t="inlineStr">
        <is>
          <t>34975084L</t>
        </is>
      </c>
      <c r="C90" t="inlineStr">
        <is>
          <t>2T 2026</t>
        </is>
      </c>
      <c r="D90" s="116" t="n">
        <v>46122</v>
      </c>
      <c r="E90" t="inlineStr">
        <is>
          <t>FTRWE 125SEC426/35</t>
        </is>
      </c>
      <c r="F90" t="inlineStr">
        <is>
          <t>VIVEIROS CULTIFLOR, UNIPESSOAL, LDA</t>
        </is>
      </c>
      <c r="G90" t="inlineStr">
        <is>
          <t>PT513704370</t>
        </is>
      </c>
      <c r="H90" t="inlineStr">
        <is>
          <t>Portugal</t>
        </is>
      </c>
      <c r="I90" t="inlineStr">
        <is>
          <t>Adquisición intracomunitaria de bienes</t>
        </is>
      </c>
      <c r="J90" t="inlineStr">
        <is>
          <t>Adubo orquídeas, sustrato Siro y portes España</t>
        </is>
      </c>
      <c r="K90" s="90" t="n">
        <v>33.91</v>
      </c>
      <c r="L90" s="89" t="n">
        <v>0</v>
      </c>
      <c r="M90" s="90" t="n">
        <v>0</v>
      </c>
      <c r="N90" s="90" t="n">
        <v>33.91</v>
      </c>
      <c r="O90" s="90" t="inlineStr">
        <is>
          <t>EUR</t>
        </is>
      </c>
      <c r="P90" s="90" t="n">
        <v>33.91</v>
      </c>
      <c r="Q90" s="90" t="n">
        <v>1</v>
      </c>
      <c r="R90" s="85" t="n">
        <v>0</v>
      </c>
      <c r="S90" s="84" t="n">
        <v>0</v>
      </c>
      <c r="T90" t="inlineStr">
        <is>
          <t>Operación intracomunitaria con inversión sujeto pasivo</t>
        </is>
      </c>
      <c r="U90" t="inlineStr">
        <is>
          <t>Pendiente de revisión</t>
        </is>
      </c>
      <c r="V90" t="inlineStr">
        <is>
          <t>Factura portuguesa exenta art. 14 RITI. Autorrepercusión estimada; confirmar tipo de IVA español aplicable.</t>
        </is>
      </c>
      <c r="W90" t="inlineStr">
        <is>
          <t>088_2T 2026_VIVEIROS CULTIFLOR FTRWE 125SEC426_35.pdf</t>
        </is>
      </c>
      <c r="X90" t="inlineStr">
        <is>
          <t>Sí</t>
        </is>
      </c>
    </row>
    <row r="91">
      <c r="A91" t="inlineStr">
        <is>
          <t>ANA BELEN FEIJOO VIDUEIRA</t>
        </is>
      </c>
      <c r="B91" t="inlineStr">
        <is>
          <t>34975084L</t>
        </is>
      </c>
      <c r="C91" t="inlineStr">
        <is>
          <t>2T 2026</t>
        </is>
      </c>
      <c r="D91" s="116" t="n">
        <v>46190</v>
      </c>
      <c r="E91" t="inlineStr">
        <is>
          <t>FTRWE 125SEC426/71</t>
        </is>
      </c>
      <c r="F91" t="inlineStr">
        <is>
          <t>VIVEIROS CULTIFLOR, UNIPESSOAL, LDA</t>
        </is>
      </c>
      <c r="G91" t="inlineStr">
        <is>
          <t>PT513704370</t>
        </is>
      </c>
      <c r="H91" t="inlineStr">
        <is>
          <t>Portugal</t>
        </is>
      </c>
      <c r="I91" t="inlineStr">
        <is>
          <t>Adquisición intracomunitaria de bienes</t>
        </is>
      </c>
      <c r="J91" t="inlineStr">
        <is>
          <t>Adubo orquídeas, cactus mix, sustratos y portes España</t>
        </is>
      </c>
      <c r="K91" s="90" t="n">
        <v>77.72</v>
      </c>
      <c r="L91" s="89" t="n">
        <v>0</v>
      </c>
      <c r="M91" s="90" t="n">
        <v>0</v>
      </c>
      <c r="N91" s="90" t="n">
        <v>77.72</v>
      </c>
      <c r="O91" s="90" t="inlineStr">
        <is>
          <t>EUR</t>
        </is>
      </c>
      <c r="P91" s="90" t="n">
        <v>77.72</v>
      </c>
      <c r="Q91" s="90" t="n">
        <v>1</v>
      </c>
      <c r="R91" s="85" t="n">
        <v>0</v>
      </c>
      <c r="S91" s="84" t="n">
        <v>0</v>
      </c>
      <c r="T91" t="inlineStr">
        <is>
          <t>Operación intracomunitaria con inversión sujeto pasivo</t>
        </is>
      </c>
      <c r="U91" t="inlineStr">
        <is>
          <t>Pendiente de revisión</t>
        </is>
      </c>
      <c r="V91" t="inlineStr">
        <is>
          <t>Factura portuguesa exenta art. 14 RITI. Se ha añadido una sola vez pese a existir duplicado subido.</t>
        </is>
      </c>
      <c r="W91" t="inlineStr">
        <is>
          <t>089_2T 2026_VIVEIROS CULTIFLOR FTRWE 125SEC426-71.pdf</t>
        </is>
      </c>
      <c r="X91" t="inlineStr">
        <is>
          <t>Sí</t>
        </is>
      </c>
    </row>
    <row r="92">
      <c r="D92" s="83" t="n"/>
      <c r="K92" s="84" t="n"/>
      <c r="L92" s="85" t="n"/>
      <c r="M92" s="84" t="n"/>
      <c r="N92" s="84" t="n"/>
      <c r="P92" s="84" t="n"/>
      <c r="Q92" s="85" t="n"/>
      <c r="R92" s="85" t="n"/>
      <c r="S92" s="84" t="n"/>
    </row>
    <row r="93">
      <c r="A93" t="inlineStr">
        <is>
          <t>ANA BELEN FEIJOO VIDUEIRA</t>
        </is>
      </c>
      <c r="B93" t="inlineStr">
        <is>
          <t>34975084L</t>
        </is>
      </c>
      <c r="C93" t="inlineStr">
        <is>
          <t>2T 2026</t>
        </is>
      </c>
      <c r="D93" s="117" t="n">
        <v>46168</v>
      </c>
      <c r="E93" t="inlineStr">
        <is>
          <t>FDE174A8-0031</t>
        </is>
      </c>
      <c r="F93" t="inlineStr">
        <is>
          <t>OpenAI OpCo, LLC</t>
        </is>
      </c>
      <c r="G93" t="inlineStr">
        <is>
          <t>EU372041333</t>
        </is>
      </c>
      <c r="H93" t="inlineStr">
        <is>
          <t>Estados Unidos</t>
        </is>
      </c>
      <c r="I93" t="inlineStr">
        <is>
          <t>Servicio nacional con IVA 21%</t>
        </is>
      </c>
      <c r="J93" t="inlineStr">
        <is>
          <t>Suscripción ChatGPT Plus (Mayo)</t>
        </is>
      </c>
      <c r="K93" t="n">
        <v>17.19</v>
      </c>
      <c r="L93" t="n">
        <v>0.21</v>
      </c>
      <c r="M93" t="n">
        <v>3.61</v>
      </c>
      <c r="N93" t="n">
        <v>20.8</v>
      </c>
      <c r="O93" t="inlineStr">
        <is>
          <t>USD</t>
        </is>
      </c>
      <c r="P93" t="n">
        <v>24.2</v>
      </c>
      <c r="Q93" t="n">
        <v>1</v>
      </c>
      <c r="R93" t="n">
        <v>0</v>
      </c>
      <c r="S93" t="n">
        <v>0</v>
      </c>
      <c r="T93" t="inlineStr">
        <is>
          <t>Gasto con IVA soportado nacional</t>
        </is>
      </c>
      <c r="U93" t="inlineStr">
        <is>
          <t>Revisado</t>
        </is>
      </c>
      <c r="V93" t="inlineStr">
        <is>
          <t>Factura OpenAI con NIF cliente informado. IVA español del 21% cobrado bajo ventanilla única (OSS).</t>
        </is>
      </c>
      <c r="W93" t="inlineStr">
        <is>
          <t>090_2T 2026_CHATGPT Invoice-FDE174A8-0031 MAYO CTA 1.pdf</t>
        </is>
      </c>
      <c r="X93" t="inlineStr">
        <is>
          <t>Sí</t>
        </is>
      </c>
    </row>
    <row r="94">
      <c r="A94" t="inlineStr">
        <is>
          <t>ANA BELEN FEIJOO VIDUEIRA</t>
        </is>
      </c>
      <c r="B94" t="inlineStr">
        <is>
          <t>34975084L</t>
        </is>
      </c>
      <c r="C94" t="inlineStr">
        <is>
          <t>2T 2026</t>
        </is>
      </c>
      <c r="D94" s="117" t="n">
        <v>46171</v>
      </c>
      <c r="E94" t="inlineStr">
        <is>
          <t>ES602DSXMC1ALS</t>
        </is>
      </c>
      <c r="F94" t="inlineStr">
        <is>
          <t>JUNALY SOLUTIONS SL</t>
        </is>
      </c>
      <c r="G94" t="inlineStr">
        <is>
          <t>ESB16857104</t>
        </is>
      </c>
      <c r="H94" t="inlineStr">
        <is>
          <t>España</t>
        </is>
      </c>
      <c r="I94" t="inlineStr">
        <is>
          <t>Compra nacional con IVA</t>
        </is>
      </c>
      <c r="J94" t="inlineStr">
        <is>
          <t>Escoba y recogedor plegable 3 en 1 JUPPLIES</t>
        </is>
      </c>
      <c r="K94" t="n">
        <v>15.65</v>
      </c>
      <c r="L94" t="n">
        <v>0.21</v>
      </c>
      <c r="M94" t="n">
        <v>3.29</v>
      </c>
      <c r="N94" t="n">
        <v>18.94</v>
      </c>
      <c r="O94" t="inlineStr">
        <is>
          <t>EUR</t>
        </is>
      </c>
      <c r="P94" t="n">
        <v>18.94</v>
      </c>
      <c r="Q94" t="n">
        <v>1</v>
      </c>
      <c r="R94" t="n">
        <v>0</v>
      </c>
      <c r="S94" t="n">
        <v>0</v>
      </c>
      <c r="T94" t="inlineStr">
        <is>
          <t>Gasto con IVA soportado nacional</t>
        </is>
      </c>
      <c r="U94" t="inlineStr">
        <is>
          <t>Revisado</t>
        </is>
      </c>
      <c r="V94" t="inlineStr">
        <is>
          <t>Compra nacional de material de limpieza para el local.</t>
        </is>
      </c>
      <c r="W94" t="inlineStr">
        <is>
          <t>091_2T 2026_COMPRAS EN AMAZON JUNIO (3).pdf</t>
        </is>
      </c>
      <c r="X94" t="inlineStr">
        <is>
          <t>Sí</t>
        </is>
      </c>
    </row>
    <row r="95">
      <c r="A95" t="inlineStr">
        <is>
          <t>ANA BELEN FEIJOO VIDUEIRA</t>
        </is>
      </c>
      <c r="B95" t="inlineStr">
        <is>
          <t>34975084L</t>
        </is>
      </c>
      <c r="C95" t="inlineStr">
        <is>
          <t>2T 2026</t>
        </is>
      </c>
      <c r="D95" s="117" t="n">
        <v>46180</v>
      </c>
      <c r="E95" t="inlineStr">
        <is>
          <t>ES6102IACAEUS</t>
        </is>
      </c>
      <c r="F95" t="inlineStr">
        <is>
          <t>Amazon EU S.à r.l., Sucursal en España</t>
        </is>
      </c>
      <c r="G95" t="inlineStr">
        <is>
          <t>ESW0184081H</t>
        </is>
      </c>
      <c r="H95" t="inlineStr">
        <is>
          <t>España</t>
        </is>
      </c>
      <c r="I95" t="inlineStr">
        <is>
          <t>Compra nacional con IVA</t>
        </is>
      </c>
      <c r="J95" t="inlineStr">
        <is>
          <t>Soporte giratorio y ajustable para CPU AISENS</t>
        </is>
      </c>
      <c r="K95" t="n">
        <v>13.21</v>
      </c>
      <c r="L95" t="n">
        <v>0.21</v>
      </c>
      <c r="M95" t="n">
        <v>2.77</v>
      </c>
      <c r="N95" t="n">
        <v>15.98</v>
      </c>
      <c r="O95" t="inlineStr">
        <is>
          <t>EUR</t>
        </is>
      </c>
      <c r="P95" t="n">
        <v>15.98</v>
      </c>
      <c r="Q95" t="n">
        <v>1</v>
      </c>
      <c r="R95" t="n">
        <v>0</v>
      </c>
      <c r="S95" t="n">
        <v>0</v>
      </c>
      <c r="T95" t="inlineStr">
        <is>
          <t>Gasto con IVA soportado nacional</t>
        </is>
      </c>
      <c r="U95" t="inlineStr">
        <is>
          <t>Revisado</t>
        </is>
      </c>
      <c r="V95" t="inlineStr">
        <is>
          <t>Utillaje/Mobiliario de oficina. Importe inferior a 300€ deducible en el año.</t>
        </is>
      </c>
      <c r="W95" t="inlineStr">
        <is>
          <t>092_2T 2026_COMPRAS EN AMAZON JUNIO (10).pdf</t>
        </is>
      </c>
      <c r="X95" t="inlineStr">
        <is>
          <t>Sí</t>
        </is>
      </c>
    </row>
    <row r="96">
      <c r="A96" t="inlineStr">
        <is>
          <t>ANA BELEN FEIJOO VIDUEIRA</t>
        </is>
      </c>
      <c r="B96" t="inlineStr">
        <is>
          <t>34975084L</t>
        </is>
      </c>
      <c r="C96" t="inlineStr">
        <is>
          <t>2T 2026</t>
        </is>
      </c>
      <c r="D96" s="117" t="n">
        <v>46180</v>
      </c>
      <c r="E96" t="inlineStr">
        <is>
          <t>ES6126JQPAEUD</t>
        </is>
      </c>
      <c r="F96" t="inlineStr">
        <is>
          <t>ShenZhenShiQiXinGongYingLianGuanLiYouXianGongSi</t>
        </is>
      </c>
      <c r="G96" t="inlineStr">
        <is>
          <t>LU20260743</t>
        </is>
      </c>
      <c r="H96" t="inlineStr">
        <is>
          <t>China</t>
        </is>
      </c>
      <c r="I96" t="inlineStr">
        <is>
          <t>Servicio nacional con IVA 21%</t>
        </is>
      </c>
      <c r="J96" t="inlineStr">
        <is>
          <t>Broca de sierra perforadora 60mm y cubiertas cables</t>
        </is>
      </c>
      <c r="K96" t="n">
        <v>9.08</v>
      </c>
      <c r="L96" t="n">
        <v>0.21</v>
      </c>
      <c r="M96" t="n">
        <v>1.91</v>
      </c>
      <c r="N96" t="n">
        <v>10.99</v>
      </c>
      <c r="O96" t="inlineStr">
        <is>
          <t>EUR</t>
        </is>
      </c>
      <c r="P96" t="n">
        <v>10.99</v>
      </c>
      <c r="Q96" t="n">
        <v>1</v>
      </c>
      <c r="R96" t="n">
        <v>0</v>
      </c>
      <c r="S96" t="n">
        <v>0</v>
      </c>
      <c r="T96" t="inlineStr">
        <is>
          <t>Gasto con IVA soportado nacional</t>
        </is>
      </c>
      <c r="U96" t="inlineStr">
        <is>
          <t>Revisado</t>
        </is>
      </c>
      <c r="V96" t="inlineStr">
        <is>
          <t>IVA declarado por Amazon en España (ventanilla única de importación).</t>
        </is>
      </c>
      <c r="W96" t="inlineStr">
        <is>
          <t>093_2T 2026_COMPRAS EN AMAZON JUNIO (9).pdf</t>
        </is>
      </c>
      <c r="X96" t="inlineStr">
        <is>
          <t>Sí</t>
        </is>
      </c>
    </row>
    <row r="97">
      <c r="A97" t="inlineStr">
        <is>
          <t>ANA BELEN FEIJOO VIDUEIRA</t>
        </is>
      </c>
      <c r="B97" t="inlineStr">
        <is>
          <t>34975084L</t>
        </is>
      </c>
      <c r="C97" t="inlineStr">
        <is>
          <t>2T 2026</t>
        </is>
      </c>
      <c r="D97" s="117" t="n">
        <v>46185</v>
      </c>
      <c r="E97" t="inlineStr">
        <is>
          <t>CE261805004</t>
        </is>
      </c>
      <c r="F97" t="inlineStr">
        <is>
          <t>C.I.F.R.A., S.L.</t>
        </is>
      </c>
      <c r="G97" t="inlineStr">
        <is>
          <t>B30668420</t>
        </is>
      </c>
      <c r="H97" t="inlineStr">
        <is>
          <t>España</t>
        </is>
      </c>
      <c r="I97" t="inlineStr">
        <is>
          <t>Compra nacional con IVA</t>
        </is>
      </c>
      <c r="J97" t="inlineStr">
        <is>
          <t>600 chalecos reflectantes AM VISIBILITY</t>
        </is>
      </c>
      <c r="K97" t="n">
        <v>531</v>
      </c>
      <c r="L97" t="n">
        <v>0.21</v>
      </c>
      <c r="M97" t="n">
        <v>111.51</v>
      </c>
      <c r="N97" t="n">
        <v>642.51</v>
      </c>
      <c r="O97" t="inlineStr">
        <is>
          <t>EUR</t>
        </is>
      </c>
      <c r="P97" t="n">
        <v>642.51</v>
      </c>
      <c r="Q97" t="n">
        <v>1</v>
      </c>
      <c r="R97" t="n">
        <v>0</v>
      </c>
      <c r="S97" t="n">
        <v>0</v>
      </c>
      <c r="T97" t="inlineStr">
        <is>
          <t>Compra mercaderías con IVA soportado</t>
        </is>
      </c>
      <c r="U97" t="inlineStr">
        <is>
          <t>Revisado</t>
        </is>
      </c>
      <c r="V97" t="inlineStr">
        <is>
          <t>Compra de existencias para reventa. Giro comercial a 30 y 60 días.</t>
        </is>
      </c>
      <c r="W97" t="inlineStr">
        <is>
          <t>094_2T 2026_CIFRA CE261805004-ANOTADO.pdf</t>
        </is>
      </c>
      <c r="X97" t="inlineStr">
        <is>
          <t>Sí</t>
        </is>
      </c>
    </row>
    <row r="98">
      <c r="A98" t="inlineStr">
        <is>
          <t>ANA BELEN FEIJOO VIDUEIRA</t>
        </is>
      </c>
      <c r="B98" t="inlineStr">
        <is>
          <t>34975084L</t>
        </is>
      </c>
      <c r="C98" t="inlineStr">
        <is>
          <t>2T 2026</t>
        </is>
      </c>
      <c r="D98" s="117" t="n">
        <v>46191</v>
      </c>
      <c r="E98" t="inlineStr">
        <is>
          <t>FR FRES2025/297696</t>
        </is>
      </c>
      <c r="F98" t="inlineStr">
        <is>
          <t>360imprimir, SL</t>
        </is>
      </c>
      <c r="G98" t="inlineStr">
        <is>
          <t>B87625489</t>
        </is>
      </c>
      <c r="H98" t="inlineStr">
        <is>
          <t>España</t>
        </is>
      </c>
      <c r="I98" t="inlineStr">
        <is>
          <t>Compra nacional con IVA</t>
        </is>
      </c>
      <c r="J98" t="inlineStr">
        <is>
          <t>Pegatinas adhesivas brillo y costes de envío</t>
        </is>
      </c>
      <c r="K98" t="n">
        <v>70.61</v>
      </c>
      <c r="L98" t="n">
        <v>0.21</v>
      </c>
      <c r="M98" t="n">
        <v>14.83</v>
      </c>
      <c r="N98" t="n">
        <v>85.44</v>
      </c>
      <c r="O98" t="inlineStr">
        <is>
          <t>EUR</t>
        </is>
      </c>
      <c r="P98" t="n">
        <v>85.44</v>
      </c>
      <c r="Q98" t="n">
        <v>1</v>
      </c>
      <c r="R98" t="n">
        <v>0</v>
      </c>
      <c r="S98" t="n">
        <v>0</v>
      </c>
      <c r="T98" t="inlineStr">
        <is>
          <t>Gasto con IVA soportado nacional</t>
        </is>
      </c>
      <c r="U98" t="inlineStr">
        <is>
          <t>Revisado</t>
        </is>
      </c>
      <c r="V98" t="inlineStr">
        <is>
          <t>Material publicitario e imprenta para embalajes.</t>
        </is>
      </c>
      <c r="W98" t="inlineStr">
        <is>
          <t>095_2T 2026_360 imprenta Invoice-5012146.pdf</t>
        </is>
      </c>
      <c r="X98" t="inlineStr">
        <is>
          <t>Sí</t>
        </is>
      </c>
    </row>
    <row r="99">
      <c r="A99" t="inlineStr">
        <is>
          <t>ANA BELEN FEIJOO VIDUEIRA</t>
        </is>
      </c>
      <c r="B99" t="inlineStr">
        <is>
          <t>34975084L</t>
        </is>
      </c>
      <c r="C99" t="inlineStr">
        <is>
          <t>2T 2026</t>
        </is>
      </c>
      <c r="D99" s="117" t="n">
        <v>46192</v>
      </c>
      <c r="E99" t="inlineStr">
        <is>
          <t>GB60077FZ9YRJU</t>
        </is>
      </c>
      <c r="F99" t="inlineStr">
        <is>
          <t>HUIHUIP LIMITED</t>
        </is>
      </c>
      <c r="G99" t="inlineStr">
        <is>
          <t>GB489541246</t>
        </is>
      </c>
      <c r="H99" t="inlineStr">
        <is>
          <t>Reino Unido</t>
        </is>
      </c>
      <c r="I99" t="inlineStr">
        <is>
          <t>Servicio nacional con IVA 21%</t>
        </is>
      </c>
      <c r="J99" t="inlineStr">
        <is>
          <t>Silla de oficina ergonómica con reposapiés naspaluro</t>
        </is>
      </c>
      <c r="K99" t="n">
        <v>73.40000000000001</v>
      </c>
      <c r="L99" t="n">
        <v>0.21</v>
      </c>
      <c r="M99" t="n">
        <v>15.41</v>
      </c>
      <c r="N99" t="n">
        <v>88.81</v>
      </c>
      <c r="O99" t="inlineStr">
        <is>
          <t>EUR</t>
        </is>
      </c>
      <c r="P99" t="n">
        <v>88.81</v>
      </c>
      <c r="Q99" t="n">
        <v>1</v>
      </c>
      <c r="R99" t="n">
        <v>0</v>
      </c>
      <c r="S99" t="n">
        <v>0</v>
      </c>
      <c r="T99" t="inlineStr">
        <is>
          <t>Gasto con IVA soportado nacional</t>
        </is>
      </c>
      <c r="U99" t="inlineStr">
        <is>
          <t>Revisado</t>
        </is>
      </c>
      <c r="V99" t="inlineStr">
        <is>
          <t>Mobiliario de oficina. IVA español cobrado y liquidado por el régimen de la Unión.</t>
        </is>
      </c>
      <c r="W99" t="inlineStr">
        <is>
          <t>096_2T 2026_COMPRAS EN AMAZON JUNIO (11).pdf</t>
        </is>
      </c>
      <c r="X99" t="inlineStr">
        <is>
          <t>Sí</t>
        </is>
      </c>
    </row>
    <row r="100">
      <c r="A100" t="inlineStr">
        <is>
          <t>ANA BELEN FEIJOO VIDUEIRA</t>
        </is>
      </c>
      <c r="B100" t="inlineStr">
        <is>
          <t>34975084L</t>
        </is>
      </c>
      <c r="C100" t="inlineStr">
        <is>
          <t>2T 2026</t>
        </is>
      </c>
      <c r="D100" s="117" t="n">
        <v>46195</v>
      </c>
      <c r="E100" t="inlineStr">
        <is>
          <t>FT FA.2026/20448</t>
        </is>
      </c>
      <c r="F100" t="inlineStr">
        <is>
          <t>Artevasi, S.A.</t>
        </is>
      </c>
      <c r="G100" t="inlineStr">
        <is>
          <t>PT507747879</t>
        </is>
      </c>
      <c r="H100" t="inlineStr">
        <is>
          <t>Portugal</t>
        </is>
      </c>
      <c r="I100" t="inlineStr">
        <is>
          <t>Adquisición intracomunitaria de bienes</t>
        </is>
      </c>
      <c r="J100" t="inlineStr">
        <is>
          <t>Compra de platos redondos y platos transparentes</t>
        </is>
      </c>
      <c r="K100" t="n">
        <v>406.44</v>
      </c>
      <c r="L100" t="n">
        <v>0</v>
      </c>
      <c r="M100" t="n">
        <v>0</v>
      </c>
      <c r="N100" t="n">
        <v>406.44</v>
      </c>
      <c r="O100" t="inlineStr">
        <is>
          <t>EUR</t>
        </is>
      </c>
      <c r="P100" t="n">
        <v>406.44</v>
      </c>
      <c r="Q100" t="n">
        <v>1</v>
      </c>
      <c r="R100" t="n">
        <v>0</v>
      </c>
      <c r="S100" t="n">
        <v>0</v>
      </c>
      <c r="T100" t="inlineStr">
        <is>
          <t>Operación intracomunitaria con inversión sujeto pasivo</t>
        </is>
      </c>
      <c r="U100" t="inlineStr">
        <is>
          <t>Pendiente de revisión</t>
        </is>
      </c>
      <c r="V100" t="inlineStr">
        <is>
          <t>Factura exenta en Portugal por art. 14 RITI. Sujeta a autorrepercusión de IVA 21% en España.</t>
        </is>
      </c>
      <c r="W100" t="inlineStr">
        <is>
          <t>097_2T 2026_ARTEVASI FA_2026_20448.pdf</t>
        </is>
      </c>
      <c r="X100" t="inlineStr">
        <is>
          <t>Sí</t>
        </is>
      </c>
    </row>
    <row r="101">
      <c r="A101" t="inlineStr">
        <is>
          <t>ANA BELEN FEIJOO VIDUEIRA</t>
        </is>
      </c>
      <c r="B101" t="inlineStr">
        <is>
          <t>34975084L</t>
        </is>
      </c>
      <c r="C101" t="inlineStr">
        <is>
          <t>2T 2026</t>
        </is>
      </c>
      <c r="D101" s="117" t="n">
        <v>46196</v>
      </c>
      <c r="E101" t="inlineStr">
        <is>
          <t>20260623</t>
        </is>
      </c>
      <c r="F101" t="inlineStr">
        <is>
          <t>Shijiazhuang Tangyuan Forgery-Preventive Bar Code Printing Co., Ltd</t>
        </is>
      </c>
      <c r="G101" t="inlineStr">
        <is>
          <t>Pendiente</t>
        </is>
      </c>
      <c r="H101" t="inlineStr">
        <is>
          <t>China</t>
        </is>
      </c>
      <c r="I101" t="inlineStr">
        <is>
          <t>Importación de bienes / compra exterior</t>
        </is>
      </c>
      <c r="J101" t="inlineStr">
        <is>
          <t>18000 pegatinas redondas personalizadas reciclaje</t>
        </is>
      </c>
      <c r="K101" t="n">
        <v>632.02</v>
      </c>
      <c r="L101" t="n">
        <v>0</v>
      </c>
      <c r="M101" t="n">
        <v>0</v>
      </c>
      <c r="N101" t="n">
        <v>632.02</v>
      </c>
      <c r="O101" t="inlineStr">
        <is>
          <t>USD</t>
        </is>
      </c>
      <c r="P101" t="n">
        <v>720</v>
      </c>
      <c r="Q101" t="n">
        <v>1</v>
      </c>
      <c r="R101" t="n">
        <v>0</v>
      </c>
      <c r="S101" t="n">
        <v>0</v>
      </c>
      <c r="T101" t="inlineStr">
        <is>
          <t>Compra exterior sin IVA español</t>
        </is>
      </c>
      <c r="U101" t="inlineStr">
        <is>
          <t>Pendiente de revisión</t>
        </is>
      </c>
      <c r="V101" t="inlineStr">
        <is>
          <t>Factura comercial Alibaba DDP. Conversión a EUR al tipo oficial del BCE (1.1392 USD/EUR). Pendiente de DUA.</t>
        </is>
      </c>
      <c r="W101" t="inlineStr">
        <is>
          <t>098_2T 2026_Aliababa China IMPRENTA Invoice 20260623.pdf</t>
        </is>
      </c>
      <c r="X101" t="inlineStr">
        <is>
          <t>Sí</t>
        </is>
      </c>
    </row>
    <row r="102">
      <c r="A102" t="inlineStr">
        <is>
          <t>ANA BELEN FEIJOO VIDUEIRA</t>
        </is>
      </c>
      <c r="B102" t="inlineStr">
        <is>
          <t>34975084L</t>
        </is>
      </c>
      <c r="C102" t="inlineStr">
        <is>
          <t>2T 2026</t>
        </is>
      </c>
      <c r="D102" s="117" t="n">
        <v>46196</v>
      </c>
      <c r="E102" t="inlineStr">
        <is>
          <t>ES613S6YDAEUS</t>
        </is>
      </c>
      <c r="F102" t="inlineStr">
        <is>
          <t>Amazon EU S.à r.l., Sucursal en España</t>
        </is>
      </c>
      <c r="G102" t="inlineStr">
        <is>
          <t>ESW0184081H</t>
        </is>
      </c>
      <c r="H102" t="inlineStr">
        <is>
          <t>España</t>
        </is>
      </c>
      <c r="I102" t="inlineStr">
        <is>
          <t>Compra nacional con IVA</t>
        </is>
      </c>
      <c r="J102" t="inlineStr">
        <is>
          <t>Air Wick Freshmatic - Recambios ambientador (6 un.)</t>
        </is>
      </c>
      <c r="K102" t="n">
        <v>9.91</v>
      </c>
      <c r="L102" t="n">
        <v>0.21</v>
      </c>
      <c r="M102" t="n">
        <v>2.08</v>
      </c>
      <c r="N102" t="n">
        <v>11.99</v>
      </c>
      <c r="O102" t="inlineStr">
        <is>
          <t>EUR</t>
        </is>
      </c>
      <c r="P102" t="n">
        <v>11.99</v>
      </c>
      <c r="Q102" t="n">
        <v>1</v>
      </c>
      <c r="R102" t="n">
        <v>0</v>
      </c>
      <c r="S102" t="n">
        <v>0</v>
      </c>
      <c r="T102" t="inlineStr">
        <is>
          <t>Gasto con IVA soportado nacional</t>
        </is>
      </c>
      <c r="U102" t="inlineStr">
        <is>
          <t>Revisado</t>
        </is>
      </c>
      <c r="V102" t="inlineStr">
        <is>
          <t>Gastos de conservación/limpieza de local comercial.</t>
        </is>
      </c>
      <c r="W102" t="inlineStr">
        <is>
          <t>099_2T 2026_COMPRAS EN AMAZON JUNIO (1).pdf</t>
        </is>
      </c>
      <c r="X102" t="inlineStr">
        <is>
          <t>Sí</t>
        </is>
      </c>
    </row>
    <row r="103">
      <c r="A103" t="inlineStr">
        <is>
          <t>ANA BELEN FEIJOO VIDUEIRA</t>
        </is>
      </c>
      <c r="B103" t="inlineStr">
        <is>
          <t>34975084L</t>
        </is>
      </c>
      <c r="C103" t="inlineStr">
        <is>
          <t>2T 2026</t>
        </is>
      </c>
      <c r="D103" s="117" t="n">
        <v>46199</v>
      </c>
      <c r="E103" t="inlineStr">
        <is>
          <t>FDE174A8-0032</t>
        </is>
      </c>
      <c r="F103" t="inlineStr">
        <is>
          <t>OpenAI OpCo, LLC</t>
        </is>
      </c>
      <c r="G103" t="inlineStr">
        <is>
          <t>EU372041333</t>
        </is>
      </c>
      <c r="H103" t="inlineStr">
        <is>
          <t>Estados Unidos</t>
        </is>
      </c>
      <c r="I103" t="inlineStr">
        <is>
          <t>Servicio nacional con IVA 21%</t>
        </is>
      </c>
      <c r="J103" t="inlineStr">
        <is>
          <t>Suscripción ChatGPT Plus (Junio)</t>
        </is>
      </c>
      <c r="K103" t="n">
        <v>17.48</v>
      </c>
      <c r="L103" t="n">
        <v>0.21</v>
      </c>
      <c r="M103" t="n">
        <v>3.67</v>
      </c>
      <c r="N103" t="n">
        <v>21.15</v>
      </c>
      <c r="O103" t="inlineStr">
        <is>
          <t>USD</t>
        </is>
      </c>
      <c r="P103" t="n">
        <v>24.2</v>
      </c>
      <c r="Q103" t="n">
        <v>1</v>
      </c>
      <c r="R103" t="n">
        <v>0</v>
      </c>
      <c r="S103" t="n">
        <v>0</v>
      </c>
      <c r="T103" t="inlineStr">
        <is>
          <t>Gasto con IVA soportado nacional</t>
        </is>
      </c>
      <c r="U103" t="inlineStr">
        <is>
          <t>Revisado</t>
        </is>
      </c>
      <c r="V103" t="inlineStr">
        <is>
          <t>Factura OpenAI con NIF cliente informado. IVA español del 21% cobrado bajo ventanilla única (OSS).</t>
        </is>
      </c>
      <c r="W103" t="inlineStr">
        <is>
          <t>100_2T 2026_CHATGPT Invoice-FDE174A8-0032.pdf</t>
        </is>
      </c>
      <c r="X103" t="inlineStr">
        <is>
          <t>Sí</t>
        </is>
      </c>
    </row>
    <row r="104">
      <c r="A104" t="inlineStr">
        <is>
          <t>ANA BELEN FEIJOO VIDUEIRA</t>
        </is>
      </c>
      <c r="B104" t="inlineStr">
        <is>
          <t>34975084L</t>
        </is>
      </c>
      <c r="C104" t="inlineStr">
        <is>
          <t>2T 2026</t>
        </is>
      </c>
      <c r="D104" s="117" t="n">
        <v>46202</v>
      </c>
      <c r="E104" t="inlineStr">
        <is>
          <t>CE261808578</t>
        </is>
      </c>
      <c r="F104" t="inlineStr">
        <is>
          <t>C.I.F.R.A., S.L.</t>
        </is>
      </c>
      <c r="G104" t="inlineStr">
        <is>
          <t>B30668420</t>
        </is>
      </c>
      <c r="H104" t="inlineStr">
        <is>
          <t>España</t>
        </is>
      </c>
      <c r="I104" t="inlineStr">
        <is>
          <t>Compra nacional con IVA</t>
        </is>
      </c>
      <c r="J104" t="inlineStr">
        <is>
          <t>600 chalecos reflectantes AM VISIBILITY</t>
        </is>
      </c>
      <c r="K104" t="n">
        <v>531</v>
      </c>
      <c r="L104" t="n">
        <v>0.21</v>
      </c>
      <c r="M104" t="n">
        <v>111.51</v>
      </c>
      <c r="N104" t="n">
        <v>642.51</v>
      </c>
      <c r="O104" t="inlineStr">
        <is>
          <t>EUR</t>
        </is>
      </c>
      <c r="P104" t="n">
        <v>642.51</v>
      </c>
      <c r="Q104" t="n">
        <v>1</v>
      </c>
      <c r="R104" t="n">
        <v>0</v>
      </c>
      <c r="S104" t="n">
        <v>0</v>
      </c>
      <c r="T104" t="inlineStr">
        <is>
          <t>Compra mercaderías con IVA soportado</t>
        </is>
      </c>
      <c r="U104" t="inlineStr">
        <is>
          <t>Revisado</t>
        </is>
      </c>
      <c r="V104" t="inlineStr">
        <is>
          <t>Compra de existencias para reventa. Giro comercial a 30 y 60 días.</t>
        </is>
      </c>
      <c r="W104" t="inlineStr">
        <is>
          <t>101_2T 2026_CIFRA CE261808578.pdf</t>
        </is>
      </c>
      <c r="X104" t="inlineStr">
        <is>
          <t>Sí</t>
        </is>
      </c>
    </row>
    <row r="105">
      <c r="A105" t="inlineStr">
        <is>
          <t>ANA BELEN FEIJOO VIDUEIRA</t>
        </is>
      </c>
      <c r="B105" t="inlineStr">
        <is>
          <t>34975084L</t>
        </is>
      </c>
      <c r="C105" t="inlineStr">
        <is>
          <t>2T 2026</t>
        </is>
      </c>
      <c r="D105" s="117" t="n">
        <v>46203</v>
      </c>
      <c r="E105" t="inlineStr">
        <is>
          <t>Adeudo TGSS 06/2026</t>
        </is>
      </c>
      <c r="F105" t="inlineStr">
        <is>
          <t>TGSS - R.E. Autónomos</t>
        </is>
      </c>
      <c r="G105" t="inlineStr">
        <is>
          <t>ES75005Q2827003A</t>
        </is>
      </c>
      <c r="H105" t="inlineStr">
        <is>
          <t>España</t>
        </is>
      </c>
      <c r="I105" t="inlineStr">
        <is>
          <t>Cuota autónomos / organismo público</t>
        </is>
      </c>
      <c r="J105" t="inlineStr">
        <is>
          <t>Cotización RETA junio 2026</t>
        </is>
      </c>
      <c r="K105" t="n">
        <v>299.57</v>
      </c>
      <c r="L105" t="n">
        <v>0</v>
      </c>
      <c r="M105" t="n">
        <v>0</v>
      </c>
      <c r="N105" t="n">
        <v>299.57</v>
      </c>
      <c r="O105" t="inlineStr">
        <is>
          <t>EUR</t>
        </is>
      </c>
      <c r="P105" t="n">
        <v>299.57</v>
      </c>
      <c r="Q105" t="n">
        <v>1</v>
      </c>
      <c r="R105" t="n">
        <v>0</v>
      </c>
      <c r="S105" t="n">
        <v>0</v>
      </c>
      <c r="T105" t="inlineStr">
        <is>
          <t>Gasto deducible sin IVA</t>
        </is>
      </c>
      <c r="U105" t="inlineStr">
        <is>
          <t>Revisado</t>
        </is>
      </c>
      <c r="V105" t="inlineStr">
        <is>
          <t>Cargo bancario de cuota de autónomos; sin IVA.</t>
        </is>
      </c>
      <c r="W105" t="inlineStr">
        <is>
          <t>102_2T 2026_AUTONOMOS JUNIO.pdf</t>
        </is>
      </c>
      <c r="X105" t="inlineStr">
        <is>
          <t>Sí</t>
        </is>
      </c>
    </row>
    <row r="106">
      <c r="A106" t="inlineStr">
        <is>
          <t>ANA BELEN FEIJOO VIDUEIRA</t>
        </is>
      </c>
      <c r="B106" t="inlineStr">
        <is>
          <t>34975084L</t>
        </is>
      </c>
      <c r="C106" t="inlineStr">
        <is>
          <t>2T 2026</t>
        </is>
      </c>
      <c r="D106" s="117" t="n">
        <v>46177</v>
      </c>
      <c r="E106" t="inlineStr">
        <is>
          <t>3</t>
        </is>
      </c>
      <c r="F106" t="inlineStr">
        <is>
          <t>ROSA FERNANDEZ DA BOUZA</t>
        </is>
      </c>
      <c r="G106" t="inlineStr">
        <is>
          <t>34934884T</t>
        </is>
      </c>
      <c r="H106" t="inlineStr">
        <is>
          <t>España</t>
        </is>
      </c>
      <c r="I106" t="inlineStr">
        <is>
          <t>Alquiler de local comercial sujeto a retención</t>
        </is>
      </c>
      <c r="J106" t="inlineStr">
        <is>
          <t>Alquiler local comercial Camino Caneiro 11</t>
        </is>
      </c>
      <c r="K106" t="n">
        <v>280</v>
      </c>
      <c r="L106" t="n">
        <v>0.21</v>
      </c>
      <c r="M106" t="n">
        <v>58.8</v>
      </c>
      <c r="N106" t="n">
        <v>285.6</v>
      </c>
      <c r="O106" t="inlineStr">
        <is>
          <t>EUR</t>
        </is>
      </c>
      <c r="P106" t="n">
        <v>285.6</v>
      </c>
      <c r="Q106" t="n">
        <v>1</v>
      </c>
      <c r="R106" t="n">
        <v>0.19</v>
      </c>
      <c r="S106" t="n">
        <v>53.2</v>
      </c>
      <c r="T106" t="inlineStr">
        <is>
          <t>Alquiler de local comercial sujeto a retención</t>
        </is>
      </c>
      <c r="U106" t="inlineStr">
        <is>
          <t>Revisado</t>
        </is>
      </c>
      <c r="V106" t="inlineStr">
        <is>
          <t>Alquiler de local comercial sujeto a retención. Base: 280,00 €, IVA 21%: 58,80 €, Retención IRPF 19%: 53,20 €.</t>
        </is>
      </c>
      <c r="W106" t="inlineStr">
        <is>
          <t>Alquiler JUNIO 03-26 ANA BELEN FEIJOO.pdf</t>
        </is>
      </c>
      <c r="X106" t="inlineStr">
        <is>
          <t>Sí</t>
        </is>
      </c>
    </row>
    <row r="107">
      <c r="A107" t="inlineStr">
        <is>
          <t>ANA BELEN FEIJOO VIDUEIRA</t>
        </is>
      </c>
      <c r="B107" t="inlineStr">
        <is>
          <t>34975084L</t>
        </is>
      </c>
      <c r="C107" t="inlineStr">
        <is>
          <t>2T 2026</t>
        </is>
      </c>
      <c r="D107" s="117" t="n">
        <v>46203</v>
      </c>
      <c r="E107" t="inlineStr">
        <is>
          <t>ES-AEU-2026-484690</t>
        </is>
      </c>
      <c r="F107" t="inlineStr">
        <is>
          <t>Amazon EU S.à r.l., Sucursal en España</t>
        </is>
      </c>
      <c r="G107" t="inlineStr">
        <is>
          <t>ESW0184081H</t>
        </is>
      </c>
      <c r="H107" t="inlineStr">
        <is>
          <t>España</t>
        </is>
      </c>
      <c r="I107" t="inlineStr">
        <is>
          <t>Compra/servicio nacional con IVA</t>
        </is>
      </c>
      <c r="J107" t="inlineStr">
        <is>
          <t>Tarifas de logística de Amazon</t>
        </is>
      </c>
      <c r="K107" t="n">
        <v>4065.81</v>
      </c>
      <c r="L107" t="n">
        <v>0.21</v>
      </c>
      <c r="M107" t="n">
        <v>853.8200000000001</v>
      </c>
      <c r="N107" t="n">
        <v>4919.63</v>
      </c>
      <c r="O107" t="inlineStr">
        <is>
          <t>EUR</t>
        </is>
      </c>
      <c r="P107" t="n">
        <v>4919.63</v>
      </c>
      <c r="Q107" t="n">
        <v>1</v>
      </c>
      <c r="R107" t="n">
        <v>0</v>
      </c>
      <c r="S107" t="n">
        <v>0</v>
      </c>
      <c r="T107" t="inlineStr">
        <is>
          <t>Gasto con IVA soportado nacional</t>
        </is>
      </c>
      <c r="U107" t="inlineStr">
        <is>
          <t>Revisado</t>
        </is>
      </c>
      <c r="V107" t="inlineStr">
        <is>
          <t>Tarifas de logística de Amazon con IVA 21%.</t>
        </is>
      </c>
      <c r="W107" t="inlineStr">
        <is>
          <t>ES-AEU-2026-484690.pdf</t>
        </is>
      </c>
      <c r="X107" t="inlineStr">
        <is>
          <t>Sí</t>
        </is>
      </c>
    </row>
    <row r="108">
      <c r="A108" t="inlineStr">
        <is>
          <t>ANA BELEN FEIJOO VIDUEIRA</t>
        </is>
      </c>
      <c r="B108" t="inlineStr">
        <is>
          <t>34975084L</t>
        </is>
      </c>
      <c r="C108" t="inlineStr">
        <is>
          <t>2T 2026</t>
        </is>
      </c>
      <c r="D108" s="117" t="n">
        <v>46203</v>
      </c>
      <c r="E108" t="inlineStr">
        <is>
          <t>ES-AEU-2026-484703</t>
        </is>
      </c>
      <c r="F108" t="inlineStr">
        <is>
          <t>Amazon EU S.à r.l., Sucursal en España</t>
        </is>
      </c>
      <c r="G108" t="inlineStr">
        <is>
          <t>ESW0184081H</t>
        </is>
      </c>
      <c r="H108" t="inlineStr">
        <is>
          <t>España</t>
        </is>
      </c>
      <c r="I108" t="inlineStr">
        <is>
          <t>Compra/servicio nacional con IVA</t>
        </is>
      </c>
      <c r="J108" t="inlineStr">
        <is>
          <t>Tarifas de logística de Amazon</t>
        </is>
      </c>
      <c r="K108" t="n">
        <v>1222.46</v>
      </c>
      <c r="L108" t="n">
        <v>0.21</v>
      </c>
      <c r="M108" t="n">
        <v>256.72</v>
      </c>
      <c r="N108" t="n">
        <v>1479.18</v>
      </c>
      <c r="O108" t="inlineStr">
        <is>
          <t>EUR</t>
        </is>
      </c>
      <c r="P108" t="n">
        <v>1479.18</v>
      </c>
      <c r="Q108" t="n">
        <v>1</v>
      </c>
      <c r="R108" t="n">
        <v>0</v>
      </c>
      <c r="S108" t="n">
        <v>0</v>
      </c>
      <c r="T108" t="inlineStr">
        <is>
          <t>Gasto con IVA soportado nacional</t>
        </is>
      </c>
      <c r="U108" t="inlineStr">
        <is>
          <t>Revisado</t>
        </is>
      </c>
      <c r="V108" t="inlineStr">
        <is>
          <t>Tarifas de logística de Amazon con IVA 21%.</t>
        </is>
      </c>
      <c r="W108" t="inlineStr">
        <is>
          <t>ES-AEU-2026-484703.pdf</t>
        </is>
      </c>
      <c r="X108" t="inlineStr">
        <is>
          <t>Sí</t>
        </is>
      </c>
    </row>
    <row r="109">
      <c r="A109" t="inlineStr">
        <is>
          <t>ANA BELEN FEIJOO VIDUEIRA</t>
        </is>
      </c>
      <c r="B109" t="inlineStr">
        <is>
          <t>34975084L</t>
        </is>
      </c>
      <c r="C109" t="inlineStr">
        <is>
          <t>2T 2026</t>
        </is>
      </c>
      <c r="D109" s="117" t="n">
        <v>46203</v>
      </c>
      <c r="E109" t="inlineStr">
        <is>
          <t>ES-AEU-2026-497086</t>
        </is>
      </c>
      <c r="F109" t="inlineStr">
        <is>
          <t>Amazon EU S.à r.l., Sucursal en España</t>
        </is>
      </c>
      <c r="G109" t="inlineStr">
        <is>
          <t>ESW0184081H</t>
        </is>
      </c>
      <c r="H109" t="inlineStr">
        <is>
          <t>España</t>
        </is>
      </c>
      <c r="I109" t="inlineStr">
        <is>
          <t>Operación exenta/no sujeta sin IVA</t>
        </is>
      </c>
      <c r="J109" t="inlineStr">
        <is>
          <t>Tarifas de logística de Amazon (exentas)</t>
        </is>
      </c>
      <c r="K109" t="n">
        <v>28.88</v>
      </c>
      <c r="L109" t="n">
        <v>0</v>
      </c>
      <c r="M109" t="n">
        <v>0</v>
      </c>
      <c r="N109" t="n">
        <v>28.88</v>
      </c>
      <c r="O109" t="inlineStr">
        <is>
          <t>EUR</t>
        </is>
      </c>
      <c r="P109" t="n">
        <v>28.88</v>
      </c>
      <c r="Q109" t="n">
        <v>1</v>
      </c>
      <c r="R109" t="n">
        <v>0</v>
      </c>
      <c r="S109" t="n">
        <v>0</v>
      </c>
      <c r="T109" t="inlineStr">
        <is>
          <t>Operación no sujeta/exenta sin IVA</t>
        </is>
      </c>
      <c r="U109" t="inlineStr">
        <is>
          <t>Revisado</t>
        </is>
      </c>
      <c r="V109" t="inlineStr">
        <is>
          <t>Tarifas de logística de Amazon exentas (Art. 69, 21.5 o 64 LIVA).</t>
        </is>
      </c>
      <c r="W109" t="inlineStr">
        <is>
          <t>ES-AEU-2026-497086.pdf</t>
        </is>
      </c>
      <c r="X109" t="inlineStr">
        <is>
          <t>Sí</t>
        </is>
      </c>
    </row>
    <row r="110">
      <c r="A110" t="inlineStr">
        <is>
          <t>ANA BELEN FEIJOO VIDUEIRA</t>
        </is>
      </c>
      <c r="B110" t="inlineStr">
        <is>
          <t>34975084L</t>
        </is>
      </c>
      <c r="C110" t="inlineStr">
        <is>
          <t>2T 2026</t>
        </is>
      </c>
      <c r="D110" s="117" t="n">
        <v>46203</v>
      </c>
      <c r="E110" t="inlineStr">
        <is>
          <t>ES-AEU-2026-502268</t>
        </is>
      </c>
      <c r="F110" t="inlineStr">
        <is>
          <t>Amazon EU S.à r.l., Sucursal en España</t>
        </is>
      </c>
      <c r="G110" t="inlineStr">
        <is>
          <t>ESW0184081H</t>
        </is>
      </c>
      <c r="H110" t="inlineStr">
        <is>
          <t>España</t>
        </is>
      </c>
      <c r="I110" t="inlineStr">
        <is>
          <t>Compra/servicio nacional con IVA</t>
        </is>
      </c>
      <c r="J110" t="inlineStr">
        <is>
          <t>Tarifas de logística de Amazon</t>
        </is>
      </c>
      <c r="K110" t="n">
        <v>397.44</v>
      </c>
      <c r="L110" t="n">
        <v>0.21</v>
      </c>
      <c r="M110" t="n">
        <v>83.45999999999999</v>
      </c>
      <c r="N110" t="n">
        <v>480.9</v>
      </c>
      <c r="O110" t="inlineStr">
        <is>
          <t>EUR</t>
        </is>
      </c>
      <c r="P110" t="n">
        <v>480.9</v>
      </c>
      <c r="Q110" t="n">
        <v>1</v>
      </c>
      <c r="R110" t="n">
        <v>0</v>
      </c>
      <c r="S110" t="n">
        <v>0</v>
      </c>
      <c r="T110" t="inlineStr">
        <is>
          <t>Gasto con IVA soportado nacional</t>
        </is>
      </c>
      <c r="U110" t="inlineStr">
        <is>
          <t>Revisado</t>
        </is>
      </c>
      <c r="V110" t="inlineStr">
        <is>
          <t>Tarifas de logística de Amazon con IVA 21%. Factura en francés.</t>
        </is>
      </c>
      <c r="W110" t="inlineStr">
        <is>
          <t>ES-AEU-2026-502268.pdf</t>
        </is>
      </c>
      <c r="X110" t="inlineStr">
        <is>
          <t>Sí</t>
        </is>
      </c>
    </row>
    <row r="111">
      <c r="A111" t="inlineStr">
        <is>
          <t>ANA BELEN FEIJOO VIDUEIRA</t>
        </is>
      </c>
      <c r="B111" t="inlineStr">
        <is>
          <t>34975084L</t>
        </is>
      </c>
      <c r="C111" t="inlineStr">
        <is>
          <t>2T 2026</t>
        </is>
      </c>
      <c r="D111" s="117" t="n">
        <v>46203</v>
      </c>
      <c r="E111" t="inlineStr">
        <is>
          <t>ES-AEU-2026-502276</t>
        </is>
      </c>
      <c r="F111" t="inlineStr">
        <is>
          <t>Amazon EU S.à r.l., Sucursal en España</t>
        </is>
      </c>
      <c r="G111" t="inlineStr">
        <is>
          <t>ESW0184081H</t>
        </is>
      </c>
      <c r="H111" t="inlineStr">
        <is>
          <t>España</t>
        </is>
      </c>
      <c r="I111" t="inlineStr">
        <is>
          <t>Compra/servicio nacional con IVA</t>
        </is>
      </c>
      <c r="J111" t="inlineStr">
        <is>
          <t>Tarifas de logística de Amazon</t>
        </is>
      </c>
      <c r="K111" t="n">
        <v>70.65000000000001</v>
      </c>
      <c r="L111" t="n">
        <v>0.21</v>
      </c>
      <c r="M111" t="n">
        <v>14.84</v>
      </c>
      <c r="N111" t="n">
        <v>85.48999999999999</v>
      </c>
      <c r="O111" t="inlineStr">
        <is>
          <t>EUR</t>
        </is>
      </c>
      <c r="P111" t="n">
        <v>85.48999999999999</v>
      </c>
      <c r="Q111" t="n">
        <v>1</v>
      </c>
      <c r="R111" t="n">
        <v>0</v>
      </c>
      <c r="S111" t="n">
        <v>0</v>
      </c>
      <c r="T111" t="inlineStr">
        <is>
          <t>Gasto con IVA soportado nacional</t>
        </is>
      </c>
      <c r="U111" t="inlineStr">
        <is>
          <t>Revisado</t>
        </is>
      </c>
      <c r="V111" t="inlineStr">
        <is>
          <t>Tarifas de logística de Amazon con IVA 21%. Factura en francés.</t>
        </is>
      </c>
      <c r="W111" t="inlineStr">
        <is>
          <t>ES-AEU-2026-502276.pdf</t>
        </is>
      </c>
      <c r="X111" t="inlineStr">
        <is>
          <t>Sí</t>
        </is>
      </c>
    </row>
    <row r="112">
      <c r="A112" t="inlineStr">
        <is>
          <t>ANA BELEN FEIJOO VIDUEIRA</t>
        </is>
      </c>
      <c r="B112" t="inlineStr">
        <is>
          <t>34975084L</t>
        </is>
      </c>
      <c r="C112" t="inlineStr">
        <is>
          <t>2T 2026</t>
        </is>
      </c>
      <c r="D112" s="117" t="n">
        <v>46203</v>
      </c>
      <c r="E112" t="inlineStr">
        <is>
          <t>ES-AEU-2026-513630</t>
        </is>
      </c>
      <c r="F112" t="inlineStr">
        <is>
          <t>Amazon EU S.à r.l., Sucursal en España</t>
        </is>
      </c>
      <c r="G112" t="inlineStr">
        <is>
          <t>ESW0184081H</t>
        </is>
      </c>
      <c r="H112" t="inlineStr">
        <is>
          <t>España</t>
        </is>
      </c>
      <c r="I112" t="inlineStr">
        <is>
          <t>Compra/servicio nacional con IVA</t>
        </is>
      </c>
      <c r="J112" t="inlineStr">
        <is>
          <t>Tarifas de logística de Amazon</t>
        </is>
      </c>
      <c r="K112" t="n">
        <v>84.13</v>
      </c>
      <c r="L112" t="n">
        <v>0.21</v>
      </c>
      <c r="M112" t="n">
        <v>17.67</v>
      </c>
      <c r="N112" t="n">
        <v>101.8</v>
      </c>
      <c r="O112" t="inlineStr">
        <is>
          <t>EUR</t>
        </is>
      </c>
      <c r="P112" t="n">
        <v>101.8</v>
      </c>
      <c r="Q112" t="n">
        <v>1</v>
      </c>
      <c r="R112" t="n">
        <v>0</v>
      </c>
      <c r="S112" t="n">
        <v>0</v>
      </c>
      <c r="T112" t="inlineStr">
        <is>
          <t>Gasto con IVA soportado nacional</t>
        </is>
      </c>
      <c r="U112" t="inlineStr">
        <is>
          <t>Revisado</t>
        </is>
      </c>
      <c r="V112" t="inlineStr">
        <is>
          <t>Tarifas de logística de Amazon con IVA 21%. Factura en italiano.</t>
        </is>
      </c>
      <c r="W112" t="inlineStr">
        <is>
          <t>ES-AEU-2026-513630.pdf</t>
        </is>
      </c>
      <c r="X112" t="inlineStr">
        <is>
          <t>Sí</t>
        </is>
      </c>
    </row>
    <row r="113">
      <c r="A113" t="inlineStr">
        <is>
          <t>ANA BELEN FEIJOO VIDUEIRA</t>
        </is>
      </c>
      <c r="B113" t="inlineStr">
        <is>
          <t>34975084L</t>
        </is>
      </c>
      <c r="C113" t="inlineStr">
        <is>
          <t>2T 2026</t>
        </is>
      </c>
      <c r="D113" s="117" t="n">
        <v>46203</v>
      </c>
      <c r="E113" t="inlineStr">
        <is>
          <t>ES-AEU-2026-513631</t>
        </is>
      </c>
      <c r="F113" t="inlineStr">
        <is>
          <t>Amazon EU S.à r.l., Sucursal en España</t>
        </is>
      </c>
      <c r="G113" t="inlineStr">
        <is>
          <t>ESW0184081H</t>
        </is>
      </c>
      <c r="H113" t="inlineStr">
        <is>
          <t>España</t>
        </is>
      </c>
      <c r="I113" t="inlineStr">
        <is>
          <t>Compra/servicio nacional con IVA</t>
        </is>
      </c>
      <c r="J113" t="inlineStr">
        <is>
          <t>Tarifas de logística de Amazon</t>
        </is>
      </c>
      <c r="K113" t="n">
        <v>16.84</v>
      </c>
      <c r="L113" t="n">
        <v>0.21</v>
      </c>
      <c r="M113" t="n">
        <v>3.54</v>
      </c>
      <c r="N113" t="n">
        <v>20.38</v>
      </c>
      <c r="O113" t="inlineStr">
        <is>
          <t>EUR</t>
        </is>
      </c>
      <c r="P113" t="n">
        <v>20.38</v>
      </c>
      <c r="Q113" t="n">
        <v>1</v>
      </c>
      <c r="R113" t="n">
        <v>0</v>
      </c>
      <c r="S113" t="n">
        <v>0</v>
      </c>
      <c r="T113" t="inlineStr">
        <is>
          <t>Gasto con IVA soportado nacional</t>
        </is>
      </c>
      <c r="U113" t="inlineStr">
        <is>
          <t>Revisado</t>
        </is>
      </c>
      <c r="V113" t="inlineStr">
        <is>
          <t>Tarifas de logística de Amazon con IVA 21%. Factura en italiano.</t>
        </is>
      </c>
      <c r="W113" t="inlineStr">
        <is>
          <t>ES-AEU-2026-513631.pdf</t>
        </is>
      </c>
      <c r="X113" t="inlineStr">
        <is>
          <t>Sí</t>
        </is>
      </c>
    </row>
    <row r="114">
      <c r="A114" t="inlineStr">
        <is>
          <t>ANA BELEN FEIJOO VIDUEIRA</t>
        </is>
      </c>
      <c r="B114" t="inlineStr">
        <is>
          <t>34975084L</t>
        </is>
      </c>
      <c r="C114" t="inlineStr">
        <is>
          <t>2T 2026</t>
        </is>
      </c>
      <c r="D114" s="117" t="n">
        <v>46203</v>
      </c>
      <c r="E114" t="inlineStr">
        <is>
          <t>ES-AEU-2026-549585</t>
        </is>
      </c>
      <c r="F114" t="inlineStr">
        <is>
          <t>Amazon EU S.à r.l., Sucursal en España</t>
        </is>
      </c>
      <c r="G114" t="inlineStr">
        <is>
          <t>ESW0184081H</t>
        </is>
      </c>
      <c r="H114" t="inlineStr">
        <is>
          <t>España</t>
        </is>
      </c>
      <c r="I114" t="inlineStr">
        <is>
          <t>Compra/servicio nacional con IVA</t>
        </is>
      </c>
      <c r="J114" t="inlineStr">
        <is>
          <t>Tarifas de logística de Amazon</t>
        </is>
      </c>
      <c r="K114" t="n">
        <v>4.62</v>
      </c>
      <c r="L114" t="n">
        <v>0.21</v>
      </c>
      <c r="M114" t="n">
        <v>0.97</v>
      </c>
      <c r="N114" t="n">
        <v>5.59</v>
      </c>
      <c r="O114" t="inlineStr">
        <is>
          <t>EUR</t>
        </is>
      </c>
      <c r="P114" t="n">
        <v>5.59</v>
      </c>
      <c r="Q114" t="n">
        <v>1</v>
      </c>
      <c r="R114" t="n">
        <v>0</v>
      </c>
      <c r="S114" t="n">
        <v>0</v>
      </c>
      <c r="T114" t="inlineStr">
        <is>
          <t>Gasto con IVA soportado nacional</t>
        </is>
      </c>
      <c r="U114" t="inlineStr">
        <is>
          <t>Revisado</t>
        </is>
      </c>
      <c r="V114" t="inlineStr">
        <is>
          <t>Tarifas de logística de Amazon con IVA 21%. Factura en alemán.</t>
        </is>
      </c>
      <c r="W114" t="inlineStr">
        <is>
          <t>ES-AEU-2026-549585.pdf</t>
        </is>
      </c>
      <c r="X114" t="inlineStr">
        <is>
          <t>Sí</t>
        </is>
      </c>
    </row>
    <row r="115">
      <c r="A115" t="inlineStr">
        <is>
          <t>ANA BELEN FEIJOO VIDUEIRA</t>
        </is>
      </c>
      <c r="B115" t="inlineStr">
        <is>
          <t>34975084L</t>
        </is>
      </c>
      <c r="C115" t="inlineStr">
        <is>
          <t>2T 2026</t>
        </is>
      </c>
      <c r="D115" s="117" t="n">
        <v>46203</v>
      </c>
      <c r="E115" t="inlineStr">
        <is>
          <t>ES-AEU-2026-573889</t>
        </is>
      </c>
      <c r="F115" t="inlineStr">
        <is>
          <t>Amazon EU S.à r.l., Sucursal en España</t>
        </is>
      </c>
      <c r="G115" t="inlineStr">
        <is>
          <t>ESW0184081H</t>
        </is>
      </c>
      <c r="H115" t="inlineStr">
        <is>
          <t>España</t>
        </is>
      </c>
      <c r="I115" t="inlineStr">
        <is>
          <t>Compra/servicio nacional con IVA</t>
        </is>
      </c>
      <c r="J115" t="inlineStr">
        <is>
          <t>Tarifas de logística de Amazon</t>
        </is>
      </c>
      <c r="K115" t="n">
        <v>1429.74</v>
      </c>
      <c r="L115" t="n">
        <v>0.21</v>
      </c>
      <c r="M115" t="n">
        <v>300.25</v>
      </c>
      <c r="N115" t="n">
        <v>1729.99</v>
      </c>
      <c r="O115" t="inlineStr">
        <is>
          <t>EUR</t>
        </is>
      </c>
      <c r="P115" t="n">
        <v>1729.99</v>
      </c>
      <c r="Q115" t="n">
        <v>1</v>
      </c>
      <c r="R115" t="n">
        <v>0</v>
      </c>
      <c r="S115" t="n">
        <v>0</v>
      </c>
      <c r="T115" t="inlineStr">
        <is>
          <t>Gasto con IVA soportado nacional</t>
        </is>
      </c>
      <c r="U115" t="inlineStr">
        <is>
          <t>Revisado</t>
        </is>
      </c>
      <c r="V115" t="inlineStr">
        <is>
          <t>Tarifas de logística de Amazon con IVA 21%.</t>
        </is>
      </c>
      <c r="W115" t="inlineStr">
        <is>
          <t>ES-AEU-2026-573889.pdf</t>
        </is>
      </c>
      <c r="X115" t="inlineStr">
        <is>
          <t>Sí</t>
        </is>
      </c>
    </row>
    <row r="116">
      <c r="A116" t="inlineStr">
        <is>
          <t>ANA BELEN FEIJOO VIDUEIRA</t>
        </is>
      </c>
      <c r="B116" t="inlineStr">
        <is>
          <t>34975084L</t>
        </is>
      </c>
      <c r="C116" t="inlineStr">
        <is>
          <t>2T 2026</t>
        </is>
      </c>
      <c r="D116" s="117" t="n">
        <v>46203</v>
      </c>
      <c r="E116" t="inlineStr">
        <is>
          <t>ES-AEU-2026-573890</t>
        </is>
      </c>
      <c r="F116" t="inlineStr">
        <is>
          <t>Amazon EU S.à r.l., Sucursal en España</t>
        </is>
      </c>
      <c r="G116" t="inlineStr">
        <is>
          <t>ESW0184081H</t>
        </is>
      </c>
      <c r="H116" t="inlineStr">
        <is>
          <t>España</t>
        </is>
      </c>
      <c r="I116" t="inlineStr">
        <is>
          <t>Compra/servicio nacional con IVA</t>
        </is>
      </c>
      <c r="J116" t="inlineStr">
        <is>
          <t>Tarifas de logística de Amazon</t>
        </is>
      </c>
      <c r="K116" t="n">
        <v>407.98</v>
      </c>
      <c r="L116" t="n">
        <v>0.21</v>
      </c>
      <c r="M116" t="n">
        <v>85.67</v>
      </c>
      <c r="N116" t="n">
        <v>493.65</v>
      </c>
      <c r="O116" t="inlineStr">
        <is>
          <t>EUR</t>
        </is>
      </c>
      <c r="P116" t="n">
        <v>493.65</v>
      </c>
      <c r="Q116" t="n">
        <v>1</v>
      </c>
      <c r="R116" t="n">
        <v>0</v>
      </c>
      <c r="S116" t="n">
        <v>0</v>
      </c>
      <c r="T116" t="inlineStr">
        <is>
          <t>Gasto con IVA soportado nacional</t>
        </is>
      </c>
      <c r="U116" t="inlineStr">
        <is>
          <t>Revisado</t>
        </is>
      </c>
      <c r="V116" t="inlineStr">
        <is>
          <t>Tarifas de logística de Amazon con IVA 21%.</t>
        </is>
      </c>
      <c r="W116" t="inlineStr">
        <is>
          <t>ES-AEU-2026-573890.pdf</t>
        </is>
      </c>
      <c r="X116" t="inlineStr">
        <is>
          <t>Sí</t>
        </is>
      </c>
    </row>
    <row r="117">
      <c r="A117" t="inlineStr">
        <is>
          <t>ANA BELEN FEIJOO VIDUEIRA</t>
        </is>
      </c>
      <c r="B117" t="inlineStr">
        <is>
          <t>34975084L</t>
        </is>
      </c>
      <c r="C117" t="inlineStr">
        <is>
          <t>2T 2026</t>
        </is>
      </c>
      <c r="D117" s="117" t="n">
        <v>46203</v>
      </c>
      <c r="E117" t="inlineStr">
        <is>
          <t>ES-AEU-2026-574007</t>
        </is>
      </c>
      <c r="F117" t="inlineStr">
        <is>
          <t>Amazon EU S.à r.l., Sucursal en España</t>
        </is>
      </c>
      <c r="G117" t="inlineStr">
        <is>
          <t>ESW0184081H</t>
        </is>
      </c>
      <c r="H117" t="inlineStr">
        <is>
          <t>España</t>
        </is>
      </c>
      <c r="I117" t="inlineStr">
        <is>
          <t>Compra/servicio nacional con IVA</t>
        </is>
      </c>
      <c r="J117" t="inlineStr">
        <is>
          <t>Tarifas de logística de Amazon</t>
        </is>
      </c>
      <c r="K117" t="n">
        <v>88.28</v>
      </c>
      <c r="L117" t="n">
        <v>0.21</v>
      </c>
      <c r="M117" t="n">
        <v>18.54</v>
      </c>
      <c r="N117" t="n">
        <v>106.82</v>
      </c>
      <c r="O117" t="inlineStr">
        <is>
          <t>EUR</t>
        </is>
      </c>
      <c r="P117" t="n">
        <v>106.82</v>
      </c>
      <c r="Q117" t="n">
        <v>1</v>
      </c>
      <c r="R117" t="n">
        <v>0</v>
      </c>
      <c r="S117" t="n">
        <v>0</v>
      </c>
      <c r="T117" t="inlineStr">
        <is>
          <t>Gasto con IVA soportado nacional</t>
        </is>
      </c>
      <c r="U117" t="inlineStr">
        <is>
          <t>Revisado</t>
        </is>
      </c>
      <c r="V117" t="inlineStr">
        <is>
          <t>Tarifas de logística de Amazon con IVA 21%. Factura en francés.</t>
        </is>
      </c>
      <c r="W117" t="inlineStr">
        <is>
          <t>ES-AEU-2026-574007.pdf</t>
        </is>
      </c>
      <c r="X117" t="inlineStr">
        <is>
          <t>Sí</t>
        </is>
      </c>
    </row>
    <row r="118">
      <c r="A118" t="inlineStr">
        <is>
          <t>ANA BELEN FEIJOO VIDUEIRA</t>
        </is>
      </c>
      <c r="B118" t="inlineStr">
        <is>
          <t>34975084L</t>
        </is>
      </c>
      <c r="C118" t="inlineStr">
        <is>
          <t>2T 2026</t>
        </is>
      </c>
      <c r="D118" s="117" t="n">
        <v>46203</v>
      </c>
      <c r="E118" t="inlineStr">
        <is>
          <t>ES-AEU-2026-574008</t>
        </is>
      </c>
      <c r="F118" t="inlineStr">
        <is>
          <t>Amazon EU S.à r.l., Sucursal en España</t>
        </is>
      </c>
      <c r="G118" t="inlineStr">
        <is>
          <t>ESW0184081H</t>
        </is>
      </c>
      <c r="H118" t="inlineStr">
        <is>
          <t>España</t>
        </is>
      </c>
      <c r="I118" t="inlineStr">
        <is>
          <t>Compra/servicio nacional con IVA</t>
        </is>
      </c>
      <c r="J118" t="inlineStr">
        <is>
          <t>Tarifas de logística de Amazon</t>
        </is>
      </c>
      <c r="K118" t="n">
        <v>17.98</v>
      </c>
      <c r="L118" t="n">
        <v>0.21</v>
      </c>
      <c r="M118" t="n">
        <v>3.77</v>
      </c>
      <c r="N118" t="n">
        <v>21.75</v>
      </c>
      <c r="O118" t="inlineStr">
        <is>
          <t>EUR</t>
        </is>
      </c>
      <c r="P118" t="n">
        <v>21.75</v>
      </c>
      <c r="Q118" t="n">
        <v>1</v>
      </c>
      <c r="R118" t="n">
        <v>0</v>
      </c>
      <c r="S118" t="n">
        <v>0</v>
      </c>
      <c r="T118" t="inlineStr">
        <is>
          <t>Gasto con IVA soportado nacional</t>
        </is>
      </c>
      <c r="U118" t="inlineStr">
        <is>
          <t>Revisado</t>
        </is>
      </c>
      <c r="V118" t="inlineStr">
        <is>
          <t>Tarifas de logística de Amazon con IVA 21%. Factura en francés.</t>
        </is>
      </c>
      <c r="W118" t="inlineStr">
        <is>
          <t>ES-AEU-2026-574008.pdf</t>
        </is>
      </c>
      <c r="X118" t="inlineStr">
        <is>
          <t>Sí</t>
        </is>
      </c>
    </row>
    <row r="119">
      <c r="A119" t="inlineStr">
        <is>
          <t>ANA BELEN FEIJOO VIDUEIRA</t>
        </is>
      </c>
      <c r="B119" t="inlineStr">
        <is>
          <t>34975084L</t>
        </is>
      </c>
      <c r="C119" t="inlineStr">
        <is>
          <t>2T 2026</t>
        </is>
      </c>
      <c r="D119" s="117" t="n">
        <v>46203</v>
      </c>
      <c r="E119" t="inlineStr">
        <is>
          <t>ES-AEU-2026-574355</t>
        </is>
      </c>
      <c r="F119" t="inlineStr">
        <is>
          <t>Amazon EU S.à r.l., Sucursal en España</t>
        </is>
      </c>
      <c r="G119" t="inlineStr">
        <is>
          <t>ESW0184081H</t>
        </is>
      </c>
      <c r="H119" t="inlineStr">
        <is>
          <t>España</t>
        </is>
      </c>
      <c r="I119" t="inlineStr">
        <is>
          <t>Compra/servicio nacional con IVA</t>
        </is>
      </c>
      <c r="J119" t="inlineStr">
        <is>
          <t>Tarifas de logística de Amazon</t>
        </is>
      </c>
      <c r="K119" t="n">
        <v>24.71</v>
      </c>
      <c r="L119" t="n">
        <v>0.21</v>
      </c>
      <c r="M119" t="n">
        <v>5.19</v>
      </c>
      <c r="N119" t="n">
        <v>29.9</v>
      </c>
      <c r="O119" t="inlineStr">
        <is>
          <t>EUR</t>
        </is>
      </c>
      <c r="P119" t="n">
        <v>29.9</v>
      </c>
      <c r="Q119" t="n">
        <v>1</v>
      </c>
      <c r="R119" t="n">
        <v>0</v>
      </c>
      <c r="S119" t="n">
        <v>0</v>
      </c>
      <c r="T119" t="inlineStr">
        <is>
          <t>Gasto con IVA soportado nacional</t>
        </is>
      </c>
      <c r="U119" t="inlineStr">
        <is>
          <t>Revisado</t>
        </is>
      </c>
      <c r="V119" t="inlineStr">
        <is>
          <t>Tarifas de logística de Amazon con IVA 21%. Factura en italiano.</t>
        </is>
      </c>
      <c r="W119" t="inlineStr">
        <is>
          <t>ES-AEU-2026-574355.pdf</t>
        </is>
      </c>
      <c r="X119" t="inlineStr">
        <is>
          <t>Sí</t>
        </is>
      </c>
    </row>
    <row r="120">
      <c r="A120" t="inlineStr">
        <is>
          <t>ANA BELEN FEIJOO VIDUEIRA</t>
        </is>
      </c>
      <c r="B120" t="inlineStr">
        <is>
          <t>34975084L</t>
        </is>
      </c>
      <c r="C120" t="inlineStr">
        <is>
          <t>2T 2026</t>
        </is>
      </c>
      <c r="D120" s="117" t="n">
        <v>46203</v>
      </c>
      <c r="E120" t="inlineStr">
        <is>
          <t>ES-AEU-2026-574356</t>
        </is>
      </c>
      <c r="F120" t="inlineStr">
        <is>
          <t>Amazon EU S.à r.l., Sucursal en España</t>
        </is>
      </c>
      <c r="G120" t="inlineStr">
        <is>
          <t>ESW0184081H</t>
        </is>
      </c>
      <c r="H120" t="inlineStr">
        <is>
          <t>España</t>
        </is>
      </c>
      <c r="I120" t="inlineStr">
        <is>
          <t>Compra/servicio nacional con IVA</t>
        </is>
      </c>
      <c r="J120" t="inlineStr">
        <is>
          <t>Tarifas de logística de Amazon</t>
        </is>
      </c>
      <c r="K120" t="n">
        <v>7.37</v>
      </c>
      <c r="L120" t="n">
        <v>0.21</v>
      </c>
      <c r="M120" t="n">
        <v>1.55</v>
      </c>
      <c r="N120" t="n">
        <v>8.92</v>
      </c>
      <c r="O120" t="inlineStr">
        <is>
          <t>EUR</t>
        </is>
      </c>
      <c r="P120" t="n">
        <v>8.92</v>
      </c>
      <c r="Q120" t="n">
        <v>1</v>
      </c>
      <c r="R120" t="n">
        <v>0</v>
      </c>
      <c r="S120" t="n">
        <v>0</v>
      </c>
      <c r="T120" t="inlineStr">
        <is>
          <t>Gasto con IVA soportado nacional</t>
        </is>
      </c>
      <c r="U120" t="inlineStr">
        <is>
          <t>Revisado</t>
        </is>
      </c>
      <c r="V120" t="inlineStr">
        <is>
          <t>Tarifas de logística de Amazon con IVA 21%. Factura en italiano.</t>
        </is>
      </c>
      <c r="W120" t="inlineStr">
        <is>
          <t>ES-AEU-2026-574356.pdf</t>
        </is>
      </c>
      <c r="X120" t="inlineStr">
        <is>
          <t>Sí</t>
        </is>
      </c>
    </row>
    <row r="121">
      <c r="A121" t="inlineStr">
        <is>
          <t>ANA BELEN FEIJOO VIDUEIRA</t>
        </is>
      </c>
      <c r="B121" t="inlineStr">
        <is>
          <t>34975084L</t>
        </is>
      </c>
      <c r="C121" t="inlineStr">
        <is>
          <t>2T 2026</t>
        </is>
      </c>
      <c r="D121" s="117" t="n">
        <v>46203</v>
      </c>
      <c r="E121" t="inlineStr">
        <is>
          <t>ES-AEU-2026-576839</t>
        </is>
      </c>
      <c r="F121" t="inlineStr">
        <is>
          <t>Amazon EU S.à r.l., Sucursal en España</t>
        </is>
      </c>
      <c r="G121" t="inlineStr">
        <is>
          <t>ESW0184081H</t>
        </is>
      </c>
      <c r="H121" t="inlineStr">
        <is>
          <t>España</t>
        </is>
      </c>
      <c r="I121" t="inlineStr">
        <is>
          <t>Operación exenta/no sujeta sin IVA</t>
        </is>
      </c>
      <c r="J121" t="inlineStr">
        <is>
          <t>Tarifas de logística de Amazon (exentas)</t>
        </is>
      </c>
      <c r="K121" t="n">
        <v>5.77</v>
      </c>
      <c r="L121" t="n">
        <v>0</v>
      </c>
      <c r="M121" t="n">
        <v>0</v>
      </c>
      <c r="N121" t="n">
        <v>5.77</v>
      </c>
      <c r="O121" t="inlineStr">
        <is>
          <t>EUR</t>
        </is>
      </c>
      <c r="P121" t="n">
        <v>5.77</v>
      </c>
      <c r="Q121" t="n">
        <v>1</v>
      </c>
      <c r="R121" t="n">
        <v>0</v>
      </c>
      <c r="S121" t="n">
        <v>0</v>
      </c>
      <c r="T121" t="inlineStr">
        <is>
          <t>Operación no sujeta/exenta sin IVA</t>
        </is>
      </c>
      <c r="U121" t="inlineStr">
        <is>
          <t>Revisado</t>
        </is>
      </c>
      <c r="V121" t="inlineStr">
        <is>
          <t>Tarifas de logística de Amazon exentas (Art. 69, 21.5 o 64 LIVA).</t>
        </is>
      </c>
      <c r="W121" t="inlineStr">
        <is>
          <t>ES-AEU-2026-576839.pdf</t>
        </is>
      </c>
      <c r="X121" t="inlineStr">
        <is>
          <t>Sí</t>
        </is>
      </c>
    </row>
    <row r="122">
      <c r="A122" t="inlineStr">
        <is>
          <t>ANA BELEN FEIJOO VIDUEIRA</t>
        </is>
      </c>
      <c r="B122" t="inlineStr">
        <is>
          <t>34975084L</t>
        </is>
      </c>
      <c r="C122" t="inlineStr">
        <is>
          <t>2T 2026</t>
        </is>
      </c>
      <c r="D122" s="117" t="n">
        <v>46203</v>
      </c>
      <c r="E122" t="inlineStr">
        <is>
          <t>ES-CN-AEU-2026-134400</t>
        </is>
      </c>
      <c r="F122" t="inlineStr">
        <is>
          <t>Amazon EU S.à r.l., Sucursal en España</t>
        </is>
      </c>
      <c r="G122" t="inlineStr">
        <is>
          <t>ESW0184081H</t>
        </is>
      </c>
      <c r="H122" t="inlineStr">
        <is>
          <t>España</t>
        </is>
      </c>
      <c r="I122" t="inlineStr">
        <is>
          <t>Rectificación de factura nacional (negativa)</t>
        </is>
      </c>
      <c r="J122" t="inlineStr">
        <is>
          <t>Tarifas reembolsadas</t>
        </is>
      </c>
      <c r="K122" t="n">
        <v>-47.11</v>
      </c>
      <c r="L122" t="n">
        <v>0.21</v>
      </c>
      <c r="M122" t="n">
        <v>-9.890000000000001</v>
      </c>
      <c r="N122" t="n">
        <v>-57</v>
      </c>
      <c r="O122" t="inlineStr">
        <is>
          <t>EUR</t>
        </is>
      </c>
      <c r="P122" t="n">
        <v>-57</v>
      </c>
      <c r="Q122" t="n">
        <v>1</v>
      </c>
      <c r="R122" t="n">
        <v>0</v>
      </c>
      <c r="S122" t="n">
        <v>0</v>
      </c>
      <c r="T122" t="inlineStr">
        <is>
          <t>Rectificación menor gasto e IVA soportado</t>
        </is>
      </c>
      <c r="U122" t="inlineStr">
        <is>
          <t>Revisado</t>
        </is>
      </c>
      <c r="V122" t="inlineStr">
        <is>
          <t>Nota de crédito de tarifas de logística de Amazon.</t>
        </is>
      </c>
      <c r="W122" t="inlineStr">
        <is>
          <t>ES-CN-AEU-2026-134400.pdf</t>
        </is>
      </c>
      <c r="X122" t="inlineStr">
        <is>
          <t>Sí</t>
        </is>
      </c>
    </row>
    <row r="123">
      <c r="A123" t="inlineStr">
        <is>
          <t>ANA BELEN FEIJOO VIDUEIRA</t>
        </is>
      </c>
      <c r="B123" t="inlineStr">
        <is>
          <t>34975084L</t>
        </is>
      </c>
      <c r="C123" t="inlineStr">
        <is>
          <t>2T 2026</t>
        </is>
      </c>
      <c r="D123" s="117" t="n">
        <v>46203</v>
      </c>
      <c r="E123" t="inlineStr">
        <is>
          <t>ES-CN-AEU-2026-142678</t>
        </is>
      </c>
      <c r="F123" t="inlineStr">
        <is>
          <t>Amazon EU S.à r.l., Sucursal en España</t>
        </is>
      </c>
      <c r="G123" t="inlineStr">
        <is>
          <t>ESW0184081H</t>
        </is>
      </c>
      <c r="H123" t="inlineStr">
        <is>
          <t>España</t>
        </is>
      </c>
      <c r="I123" t="inlineStr">
        <is>
          <t>Rectificación de factura nacional (negativa)</t>
        </is>
      </c>
      <c r="J123" t="inlineStr">
        <is>
          <t>Tarifas reembolsadas</t>
        </is>
      </c>
      <c r="K123" t="n">
        <v>-2.42</v>
      </c>
      <c r="L123" t="n">
        <v>0.21</v>
      </c>
      <c r="M123" t="n">
        <v>-0.51</v>
      </c>
      <c r="N123" t="n">
        <v>-2.93</v>
      </c>
      <c r="O123" t="inlineStr">
        <is>
          <t>EUR</t>
        </is>
      </c>
      <c r="P123" t="n">
        <v>-2.93</v>
      </c>
      <c r="Q123" t="n">
        <v>1</v>
      </c>
      <c r="R123" t="n">
        <v>0</v>
      </c>
      <c r="S123" t="n">
        <v>0</v>
      </c>
      <c r="T123" t="inlineStr">
        <is>
          <t>Rectificación menor gasto e IVA soportado</t>
        </is>
      </c>
      <c r="U123" t="inlineStr">
        <is>
          <t>Revisado</t>
        </is>
      </c>
      <c r="V123" t="inlineStr">
        <is>
          <t>Nota de crédito de tarifas de logística de Amazon.</t>
        </is>
      </c>
      <c r="W123" t="inlineStr">
        <is>
          <t>ES-CN-AEU-2026-142678.pdf</t>
        </is>
      </c>
      <c r="X123" t="inlineStr">
        <is>
          <t>Sí</t>
        </is>
      </c>
    </row>
    <row r="124">
      <c r="A124" t="inlineStr">
        <is>
          <t>ANA BELEN FEIJOO VIDUEIRA</t>
        </is>
      </c>
      <c r="B124" t="inlineStr">
        <is>
          <t>34975084L</t>
        </is>
      </c>
      <c r="C124" t="inlineStr">
        <is>
          <t>2T 2026</t>
        </is>
      </c>
      <c r="D124" s="117" t="n">
        <v>46203</v>
      </c>
      <c r="E124" t="inlineStr">
        <is>
          <t>ES-CN-AEU-2026-154550</t>
        </is>
      </c>
      <c r="F124" t="inlineStr">
        <is>
          <t>Amazon EU S.à r.l., Sucursal en España</t>
        </is>
      </c>
      <c r="G124" t="inlineStr">
        <is>
          <t>ESW0184081H</t>
        </is>
      </c>
      <c r="H124" t="inlineStr">
        <is>
          <t>España</t>
        </is>
      </c>
      <c r="I124" t="inlineStr">
        <is>
          <t>Rectificación de factura nacional (negativa)</t>
        </is>
      </c>
      <c r="J124" t="inlineStr">
        <is>
          <t>Tarifas reembolsadas</t>
        </is>
      </c>
      <c r="K124" t="n">
        <v>-4.5</v>
      </c>
      <c r="L124" t="n">
        <v>0.21</v>
      </c>
      <c r="M124" t="n">
        <v>-0.9399999999999999</v>
      </c>
      <c r="N124" t="n">
        <v>-5.44</v>
      </c>
      <c r="O124" t="inlineStr">
        <is>
          <t>EUR</t>
        </is>
      </c>
      <c r="P124" t="n">
        <v>-5.44</v>
      </c>
      <c r="Q124" t="n">
        <v>1</v>
      </c>
      <c r="R124" t="n">
        <v>0</v>
      </c>
      <c r="S124" t="n">
        <v>0</v>
      </c>
      <c r="T124" t="inlineStr">
        <is>
          <t>Rectificación menor gasto e IVA soportado</t>
        </is>
      </c>
      <c r="U124" t="inlineStr">
        <is>
          <t>Revisado</t>
        </is>
      </c>
      <c r="V124" t="inlineStr">
        <is>
          <t>Nota de crédito de tarifas de logística de Amazon.</t>
        </is>
      </c>
      <c r="W124" t="inlineStr">
        <is>
          <t>ES-CN-AEU-2026-154550.pdf</t>
        </is>
      </c>
      <c r="X124" t="inlineStr">
        <is>
          <t>Sí</t>
        </is>
      </c>
    </row>
    <row r="125">
      <c r="A125" t="inlineStr">
        <is>
          <t>ANA BELEN FEIJOO VIDUEIRA</t>
        </is>
      </c>
      <c r="B125" t="inlineStr">
        <is>
          <t>34975084L</t>
        </is>
      </c>
      <c r="C125" t="inlineStr">
        <is>
          <t>2T 2026</t>
        </is>
      </c>
      <c r="D125" s="117" t="n">
        <v>46203</v>
      </c>
      <c r="E125" t="inlineStr">
        <is>
          <t>ES-CN-AEU-2026-155131</t>
        </is>
      </c>
      <c r="F125" t="inlineStr">
        <is>
          <t>Amazon EU S.à r.l., Sucursal en España</t>
        </is>
      </c>
      <c r="G125" t="inlineStr">
        <is>
          <t>ESW0184081H</t>
        </is>
      </c>
      <c r="H125" t="inlineStr">
        <is>
          <t>España</t>
        </is>
      </c>
      <c r="I125" t="inlineStr">
        <is>
          <t>Rectificación de factura nacional (negativa)</t>
        </is>
      </c>
      <c r="J125" t="inlineStr">
        <is>
          <t>Tarifas reembolsadas</t>
        </is>
      </c>
      <c r="K125" t="n">
        <v>-3.85</v>
      </c>
      <c r="L125" t="n">
        <v>0</v>
      </c>
      <c r="M125" t="n">
        <v>0</v>
      </c>
      <c r="N125" t="n">
        <v>-3.85</v>
      </c>
      <c r="O125" t="inlineStr">
        <is>
          <t>EUR</t>
        </is>
      </c>
      <c r="P125" t="n">
        <v>-3.85</v>
      </c>
      <c r="Q125" t="n">
        <v>1</v>
      </c>
      <c r="R125" t="n">
        <v>0</v>
      </c>
      <c r="S125" t="n">
        <v>0</v>
      </c>
      <c r="T125" t="inlineStr">
        <is>
          <t>Operación no sujeta/exenta sin IVA</t>
        </is>
      </c>
      <c r="U125" t="inlineStr">
        <is>
          <t>Revisado</t>
        </is>
      </c>
      <c r="V125" t="inlineStr">
        <is>
          <t>Nota de crédito de tarifas de logística de Amazon exenta.</t>
        </is>
      </c>
      <c r="W125" t="inlineStr">
        <is>
          <t>ES-CN-AEU-2026-155131.pdf</t>
        </is>
      </c>
      <c r="X125" t="inlineStr">
        <is>
          <t>Sí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10" defaultColWidth="9" defaultRowHeight="14.25"/>
  <cols>
    <col width="18" customWidth="1" style="81" min="1" max="8"/>
  </cols>
  <sheetData>
    <row r="1" ht="18" customHeight="1" s="81">
      <c r="A1" s="43" t="inlineStr">
        <is>
          <t>Facturas emitidas - cliente ANA BELEN FEIJOO VIDUEIRA</t>
        </is>
      </c>
      <c r="B1" s="24" t="n"/>
      <c r="C1" s="24" t="n"/>
      <c r="D1" s="24" t="n"/>
      <c r="E1" s="24" t="n"/>
      <c r="F1" s="24" t="n"/>
      <c r="G1" s="24" t="n"/>
      <c r="H1" s="24" t="n"/>
      <c r="I1" s="87" t="n"/>
      <c r="J1" s="87" t="n"/>
      <c r="K1" s="87" t="n"/>
      <c r="L1" s="87" t="n"/>
      <c r="M1" s="87" t="n"/>
      <c r="N1" s="87" t="n"/>
      <c r="O1" s="87" t="n"/>
      <c r="P1" s="87" t="n"/>
      <c r="Q1" s="87" t="n"/>
      <c r="R1" s="87" t="n"/>
      <c r="S1" s="87" t="n"/>
      <c r="T1" s="87" t="n"/>
      <c r="U1" s="87" t="n"/>
      <c r="V1" s="87" t="n"/>
      <c r="W1" s="87" t="n"/>
      <c r="X1" s="87" t="n"/>
      <c r="Y1" s="87" t="n"/>
      <c r="Z1" s="87" t="n"/>
    </row>
    <row r="3" ht="30" customHeight="1" s="81">
      <c r="A3" s="82" t="inlineStr">
        <is>
          <t>Fecha</t>
        </is>
      </c>
      <c r="B3" s="82" t="inlineStr">
        <is>
          <t>Nº factura</t>
        </is>
      </c>
      <c r="C3" s="82" t="inlineStr">
        <is>
          <t>Cliente/Destinatario</t>
        </is>
      </c>
      <c r="D3" s="82" t="inlineStr">
        <is>
          <t>Base EUR</t>
        </is>
      </c>
      <c r="E3" s="82" t="inlineStr">
        <is>
          <t>IVA EUR</t>
        </is>
      </c>
      <c r="F3" s="82" t="inlineStr">
        <is>
          <t>Total EUR</t>
        </is>
      </c>
      <c r="G3" s="82" t="inlineStr">
        <is>
          <t>Retención EUR</t>
        </is>
      </c>
      <c r="H3" s="82" t="inlineStr">
        <is>
          <t>Estado</t>
        </is>
      </c>
    </row>
    <row r="4">
      <c r="A4" s="117" t="n">
        <v>46142</v>
      </c>
      <c r="B4" t="inlineStr">
        <is>
          <t>RESUMEN_AMAZON_ES_202604_21</t>
        </is>
      </c>
      <c r="C4" t="inlineStr">
        <is>
          <t>Ventas Península 21% - Clientes Varios (España)</t>
        </is>
      </c>
      <c r="D4" t="n">
        <v>13795.05</v>
      </c>
      <c r="E4" t="n">
        <v>2899.11</v>
      </c>
      <c r="F4" t="n">
        <v>16694.16</v>
      </c>
      <c r="G4" t="n">
        <v>0</v>
      </c>
      <c r="H4" t="inlineStr">
        <is>
          <t>Revisado (Agregado)</t>
        </is>
      </c>
    </row>
    <row r="5">
      <c r="A5" s="117" t="n">
        <v>46142</v>
      </c>
      <c r="B5" t="inlineStr">
        <is>
          <t>RESUMEN_AMAZON_ES_202604_00</t>
        </is>
      </c>
      <c r="C5" t="inlineStr">
        <is>
          <t>Ventas Canarias 0% (Exentas) - Clientes Varios (España)</t>
        </is>
      </c>
      <c r="D5" t="n">
        <v>53.23</v>
      </c>
      <c r="E5" t="n">
        <v>0</v>
      </c>
      <c r="F5" t="n">
        <v>53.23</v>
      </c>
      <c r="G5" t="n">
        <v>0</v>
      </c>
      <c r="H5" t="inlineStr">
        <is>
          <t>Revisado (Agregado)</t>
        </is>
      </c>
    </row>
    <row r="6">
      <c r="A6" s="117" t="n">
        <v>46142</v>
      </c>
      <c r="B6" t="inlineStr">
        <is>
          <t>RESUMEN_AMAZON_PT_202604_23</t>
        </is>
      </c>
      <c r="C6" t="inlineStr">
        <is>
          <t>Ventas Particulares 23% - Clientes Varios (Portugal)</t>
        </is>
      </c>
      <c r="D6" t="n">
        <v>444.09</v>
      </c>
      <c r="E6" t="n">
        <v>102.19</v>
      </c>
      <c r="F6" t="n">
        <v>546.28</v>
      </c>
      <c r="G6" t="n">
        <v>0</v>
      </c>
      <c r="H6" t="inlineStr">
        <is>
          <t>Revisado (Agregado - OSS)</t>
        </is>
      </c>
    </row>
    <row r="7">
      <c r="A7" s="117" t="n">
        <v>46142</v>
      </c>
      <c r="B7" t="inlineStr">
        <is>
          <t>RESUMEN_AMAZON_PT_202604_00</t>
        </is>
      </c>
      <c r="C7" t="inlineStr">
        <is>
          <t>Ventas Empresas Intracomunitarias - Clientes Varios (Portugal)</t>
        </is>
      </c>
      <c r="D7" t="n">
        <v>37.73</v>
      </c>
      <c r="E7" t="n">
        <v>0</v>
      </c>
      <c r="F7" t="n">
        <v>37.73</v>
      </c>
      <c r="G7" t="n">
        <v>0</v>
      </c>
      <c r="H7" t="inlineStr">
        <is>
          <t>Revisado (Agregado - exento ROI)</t>
        </is>
      </c>
    </row>
    <row r="8">
      <c r="A8" s="117" t="n">
        <v>46142</v>
      </c>
      <c r="B8" t="inlineStr">
        <is>
          <t>RESUMEN_AMAZON_FR_202604_20</t>
        </is>
      </c>
      <c r="C8" t="inlineStr">
        <is>
          <t>Ventas Particulares 20% - Clientes Varios (Francia)</t>
        </is>
      </c>
      <c r="D8" t="n">
        <v>473.31</v>
      </c>
      <c r="E8" t="n">
        <v>94.66</v>
      </c>
      <c r="F8" t="n">
        <v>567.97</v>
      </c>
      <c r="G8" t="n">
        <v>0</v>
      </c>
      <c r="H8" t="inlineStr">
        <is>
          <t>Revisado (Agregado - OSS)</t>
        </is>
      </c>
    </row>
    <row r="9">
      <c r="A9" s="117" t="n">
        <v>46142</v>
      </c>
      <c r="B9" t="inlineStr">
        <is>
          <t>RESUMEN_AMAZON_FR_202604_00</t>
        </is>
      </c>
      <c r="C9" t="inlineStr">
        <is>
          <t>Ventas Empresas Intracomunitarias - Clientes Varios (Francia)</t>
        </is>
      </c>
      <c r="D9" t="n">
        <v>0.43</v>
      </c>
      <c r="E9" t="n">
        <v>0</v>
      </c>
      <c r="F9" t="n">
        <v>0.43</v>
      </c>
      <c r="G9" t="n">
        <v>0</v>
      </c>
      <c r="H9" t="inlineStr">
        <is>
          <t>Revisado (Agregado - exento ROI)</t>
        </is>
      </c>
    </row>
    <row r="10">
      <c r="A10" s="117" t="n">
        <v>46142</v>
      </c>
      <c r="B10" t="inlineStr">
        <is>
          <t>RESUMEN_AMAZON_IT_202604_22</t>
        </is>
      </c>
      <c r="C10" t="inlineStr">
        <is>
          <t>Ventas Particulares 22% - Clientes Varios (Italia)</t>
        </is>
      </c>
      <c r="D10" t="n">
        <v>69.23999999999999</v>
      </c>
      <c r="E10" t="n">
        <v>15.23</v>
      </c>
      <c r="F10" t="n">
        <v>84.47</v>
      </c>
      <c r="G10" t="n">
        <v>0</v>
      </c>
      <c r="H10" t="inlineStr">
        <is>
          <t>Revisado (Agregado - OSS)</t>
        </is>
      </c>
    </row>
    <row r="11">
      <c r="A11" s="117" t="n">
        <v>46142</v>
      </c>
      <c r="B11" t="inlineStr">
        <is>
          <t>RESUMEN_AMAZON_LU_202604_17</t>
        </is>
      </c>
      <c r="C11" t="inlineStr">
        <is>
          <t>Ventas Particulares 17% - Clientes Varios (Luxemburgo)</t>
        </is>
      </c>
      <c r="D11" t="n">
        <v>20.84</v>
      </c>
      <c r="E11" t="n">
        <v>3.54</v>
      </c>
      <c r="F11" t="n">
        <v>24.38</v>
      </c>
      <c r="G11" t="n">
        <v>0</v>
      </c>
      <c r="H11" t="inlineStr">
        <is>
          <t>Revisado (Agregado - OSS)</t>
        </is>
      </c>
    </row>
    <row r="12">
      <c r="A12" s="117" t="n">
        <v>46173</v>
      </c>
      <c r="B12" t="inlineStr">
        <is>
          <t>RESUMEN_AMAZON_ES_202605_21</t>
        </is>
      </c>
      <c r="C12" t="inlineStr">
        <is>
          <t>Ventas Península 21% - Clientes Varios (España)</t>
        </is>
      </c>
      <c r="D12" t="n">
        <v>14512.34</v>
      </c>
      <c r="E12" t="n">
        <v>3050.26</v>
      </c>
      <c r="F12" t="n">
        <v>17562.6</v>
      </c>
      <c r="G12" t="n">
        <v>0</v>
      </c>
      <c r="H12" t="inlineStr">
        <is>
          <t>Revisado (Agregado)</t>
        </is>
      </c>
    </row>
    <row r="13">
      <c r="A13" s="117" t="n">
        <v>46173</v>
      </c>
      <c r="B13" t="inlineStr">
        <is>
          <t>RESUMEN_AMAZON_ES_202605_10</t>
        </is>
      </c>
      <c r="C13" t="inlineStr">
        <is>
          <t>Ventas Península IVA Reducido 10% - Clientes Varios (España)</t>
        </is>
      </c>
      <c r="D13" t="n">
        <v>1557.65</v>
      </c>
      <c r="E13" t="n">
        <v>155.72</v>
      </c>
      <c r="F13" t="n">
        <v>1713.37</v>
      </c>
      <c r="G13" t="n">
        <v>0</v>
      </c>
      <c r="H13" t="inlineStr">
        <is>
          <t>Revisado (Agregado)</t>
        </is>
      </c>
    </row>
    <row r="14">
      <c r="A14" s="117" t="n">
        <v>46173</v>
      </c>
      <c r="B14" t="inlineStr">
        <is>
          <t>RESUMEN_AMAZON_ES_202605_00</t>
        </is>
      </c>
      <c r="C14" t="inlineStr">
        <is>
          <t>Ventas Canarias 0% (Exentas) - Clientes Varios (España)</t>
        </is>
      </c>
      <c r="D14" t="n">
        <v>9.109999999999999</v>
      </c>
      <c r="E14" t="n">
        <v>0</v>
      </c>
      <c r="F14" t="n">
        <v>9.109999999999999</v>
      </c>
      <c r="G14" t="n">
        <v>0</v>
      </c>
      <c r="H14" t="inlineStr">
        <is>
          <t>Revisado (Agregado)</t>
        </is>
      </c>
    </row>
    <row r="15">
      <c r="A15" s="117" t="n">
        <v>46173</v>
      </c>
      <c r="B15" t="inlineStr">
        <is>
          <t>RESUMEN_AMAZON_PT_202605_23</t>
        </is>
      </c>
      <c r="C15" t="inlineStr">
        <is>
          <t>Ventas Particulares 23% - Clientes Varios (Portugal)</t>
        </is>
      </c>
      <c r="D15" t="n">
        <v>487.43</v>
      </c>
      <c r="E15" t="n">
        <v>112.17</v>
      </c>
      <c r="F15" t="n">
        <v>599.6</v>
      </c>
      <c r="G15" t="n">
        <v>0</v>
      </c>
      <c r="H15" t="inlineStr">
        <is>
          <t>Revisado (Agregado - OSS)</t>
        </is>
      </c>
    </row>
    <row r="16">
      <c r="A16" s="117" t="n">
        <v>46173</v>
      </c>
      <c r="B16" t="inlineStr">
        <is>
          <t>RESUMEN_AMAZON_PT_202605_06</t>
        </is>
      </c>
      <c r="C16" t="inlineStr">
        <is>
          <t>Ventas Particulares IVA Reducido 6% - Clientes Varios (Portugal)</t>
        </is>
      </c>
      <c r="D16" t="n">
        <v>168.67</v>
      </c>
      <c r="E16" t="n">
        <v>10.11</v>
      </c>
      <c r="F16" t="n">
        <v>178.78</v>
      </c>
      <c r="G16" t="n">
        <v>0</v>
      </c>
      <c r="H16" t="inlineStr">
        <is>
          <t>Revisado (Agregado - OSS)</t>
        </is>
      </c>
    </row>
    <row r="17">
      <c r="A17" s="117" t="n">
        <v>46173</v>
      </c>
      <c r="B17" t="inlineStr">
        <is>
          <t>RESUMEN_AMAZON_PT_202605_00</t>
        </is>
      </c>
      <c r="C17" t="inlineStr">
        <is>
          <t>Ventas Empresas Intracomunitarias - Clientes Varios (Portugal)</t>
        </is>
      </c>
      <c r="D17" t="n">
        <v>95.63</v>
      </c>
      <c r="E17" t="n">
        <v>0</v>
      </c>
      <c r="F17" t="n">
        <v>95.63</v>
      </c>
      <c r="G17" t="n">
        <v>0</v>
      </c>
      <c r="H17" t="inlineStr">
        <is>
          <t>Revisado (Agregado - exento ROI)</t>
        </is>
      </c>
    </row>
    <row r="18">
      <c r="A18" s="117" t="n">
        <v>46173</v>
      </c>
      <c r="B18" t="inlineStr">
        <is>
          <t>RESUMEN_AMAZON_FR_202605_20</t>
        </is>
      </c>
      <c r="C18" t="inlineStr">
        <is>
          <t>Ventas Particulares 20% - Clientes Varios (Francia)</t>
        </is>
      </c>
      <c r="D18" t="n">
        <v>809.86</v>
      </c>
      <c r="E18" t="n">
        <v>162.2</v>
      </c>
      <c r="F18" t="n">
        <v>972.0599999999999</v>
      </c>
      <c r="G18" t="n">
        <v>0</v>
      </c>
      <c r="H18" t="inlineStr">
        <is>
          <t>Revisado (Agregado - OSS)</t>
        </is>
      </c>
    </row>
    <row r="19">
      <c r="A19" s="117" t="n">
        <v>46173</v>
      </c>
      <c r="B19" t="inlineStr">
        <is>
          <t>RESUMEN_AMAZON_FR_202605_00</t>
        </is>
      </c>
      <c r="C19" t="inlineStr">
        <is>
          <t>Ventas Empresas Intracomunitarias - Clientes Varios (Francia)</t>
        </is>
      </c>
      <c r="D19" t="n">
        <v>57.44</v>
      </c>
      <c r="E19" t="n">
        <v>0</v>
      </c>
      <c r="F19" t="n">
        <v>57.44</v>
      </c>
      <c r="G19" t="n">
        <v>0</v>
      </c>
      <c r="H19" t="inlineStr">
        <is>
          <t>Revisado (Agregado - exento ROI)</t>
        </is>
      </c>
    </row>
    <row r="20">
      <c r="A20" s="117" t="n">
        <v>46173</v>
      </c>
      <c r="B20" t="inlineStr">
        <is>
          <t>RESUMEN_AMAZON_IT_202605_22</t>
        </is>
      </c>
      <c r="C20" t="inlineStr">
        <is>
          <t>Ventas Particulares 22% - Clientes Varios (Italia)</t>
        </is>
      </c>
      <c r="D20" t="n">
        <v>115.76</v>
      </c>
      <c r="E20" t="n">
        <v>25.36</v>
      </c>
      <c r="F20" t="n">
        <v>141.12</v>
      </c>
      <c r="G20" t="n">
        <v>0</v>
      </c>
      <c r="H20" t="inlineStr">
        <is>
          <t>Revisado (Agregado - OSS)</t>
        </is>
      </c>
    </row>
    <row r="21">
      <c r="A21" s="117" t="n">
        <v>46173</v>
      </c>
      <c r="B21" t="inlineStr">
        <is>
          <t>RESUMEN_AMAZON_NL_202605_21</t>
        </is>
      </c>
      <c r="C21" t="inlineStr">
        <is>
          <t>Ventas Particulares 21% - Clientes Varios (Países Bajos)</t>
        </is>
      </c>
      <c r="D21" t="n">
        <v>11.47</v>
      </c>
      <c r="E21" t="n">
        <v>2.41</v>
      </c>
      <c r="F21" t="n">
        <v>13.88</v>
      </c>
      <c r="G21" t="n">
        <v>0</v>
      </c>
      <c r="H21" t="inlineStr">
        <is>
          <t>Revisado (Agregado - OSS)</t>
        </is>
      </c>
    </row>
    <row r="22">
      <c r="A22" s="117" t="n">
        <v>46173</v>
      </c>
      <c r="B22" t="inlineStr">
        <is>
          <t>RESUMEN_AMAZON_BE_202605_21</t>
        </is>
      </c>
      <c r="C22" t="inlineStr">
        <is>
          <t>Ventas Particulares 21% - Clientes Varios (Bélgica)</t>
        </is>
      </c>
      <c r="D22" t="n">
        <v>8.83</v>
      </c>
      <c r="E22" t="n">
        <v>1.86</v>
      </c>
      <c r="F22" t="n">
        <v>10.69</v>
      </c>
      <c r="G22" t="n">
        <v>0</v>
      </c>
      <c r="H22" t="inlineStr">
        <is>
          <t>Revisado (Agregado - OSS)</t>
        </is>
      </c>
    </row>
    <row r="23">
      <c r="A23" s="117" t="n">
        <v>46203</v>
      </c>
      <c r="B23" t="inlineStr">
        <is>
          <t>RESUMEN_AMAZON_ES_202606_21</t>
        </is>
      </c>
      <c r="C23" t="inlineStr">
        <is>
          <t>Ventas Península 21% - Clientes Varios (España)</t>
        </is>
      </c>
      <c r="D23" t="n">
        <v>11736.88</v>
      </c>
      <c r="E23" t="n">
        <v>2466.09</v>
      </c>
      <c r="F23" t="n">
        <v>14202.97</v>
      </c>
      <c r="G23" t="n">
        <v>0</v>
      </c>
      <c r="H23" t="inlineStr">
        <is>
          <t>Revisado (Agregado)</t>
        </is>
      </c>
    </row>
    <row r="24">
      <c r="A24" s="117" t="n">
        <v>46203</v>
      </c>
      <c r="B24" t="inlineStr">
        <is>
          <t>RESUMEN_AMAZON_ES_202606_10</t>
        </is>
      </c>
      <c r="C24" t="inlineStr">
        <is>
          <t>Ventas Península IVA Reducido 10% - Clientes Varios (España)</t>
        </is>
      </c>
      <c r="D24" t="n">
        <v>2479.16</v>
      </c>
      <c r="E24" t="n">
        <v>247.74</v>
      </c>
      <c r="F24" t="n">
        <v>2726.9</v>
      </c>
      <c r="G24" t="n">
        <v>0</v>
      </c>
      <c r="H24" t="inlineStr">
        <is>
          <t>Revisado (Agregado)</t>
        </is>
      </c>
    </row>
    <row r="25">
      <c r="A25" s="117" t="n">
        <v>46203</v>
      </c>
      <c r="B25" t="inlineStr">
        <is>
          <t>RESUMEN_AMAZON_ES_202606_00</t>
        </is>
      </c>
      <c r="C25" t="inlineStr">
        <is>
          <t>Ventas Canarias 0% (Exentas) - Clientes Varios (España)</t>
        </is>
      </c>
      <c r="D25" t="n">
        <v>57.77</v>
      </c>
      <c r="E25" t="n">
        <v>0</v>
      </c>
      <c r="F25" t="n">
        <v>57.77</v>
      </c>
      <c r="G25" t="n">
        <v>0</v>
      </c>
      <c r="H25" t="inlineStr">
        <is>
          <t>Revisado (Agregado)</t>
        </is>
      </c>
    </row>
    <row r="26">
      <c r="A26" s="117" t="n">
        <v>46203</v>
      </c>
      <c r="B26" t="inlineStr">
        <is>
          <t>RESUMEN_AMAZON_PT_202606_23</t>
        </is>
      </c>
      <c r="C26" t="inlineStr">
        <is>
          <t>Ventas Particulares 23% - Clientes Varios (Portugal)</t>
        </is>
      </c>
      <c r="D26" t="n">
        <v>218.74</v>
      </c>
      <c r="E26" t="n">
        <v>50.33</v>
      </c>
      <c r="F26" t="n">
        <v>269.07</v>
      </c>
      <c r="G26" t="n">
        <v>0</v>
      </c>
      <c r="H26" t="inlineStr">
        <is>
          <t>Revisado (Agregado - OSS)</t>
        </is>
      </c>
    </row>
    <row r="27">
      <c r="A27" s="117" t="n">
        <v>46203</v>
      </c>
      <c r="B27" t="inlineStr">
        <is>
          <t>RESUMEN_AMAZON_PT_202606_06</t>
        </is>
      </c>
      <c r="C27" t="inlineStr">
        <is>
          <t>Ventas Particulares IVA Reducido 6% - Clientes Varios (Portugal)</t>
        </is>
      </c>
      <c r="D27" t="n">
        <v>276.51</v>
      </c>
      <c r="E27" t="n">
        <v>16.56</v>
      </c>
      <c r="F27" t="n">
        <v>293.07</v>
      </c>
      <c r="G27" t="n">
        <v>0</v>
      </c>
      <c r="H27" t="inlineStr">
        <is>
          <t>Revisado (Agregado - OSS)</t>
        </is>
      </c>
    </row>
    <row r="28">
      <c r="A28" s="117" t="n">
        <v>46203</v>
      </c>
      <c r="B28" t="inlineStr">
        <is>
          <t>RESUMEN_AMAZON_PT_202606_00</t>
        </is>
      </c>
      <c r="C28" t="inlineStr">
        <is>
          <t>Ventas Empresas Intracomunitarias - Clientes Varios (Portugal)</t>
        </is>
      </c>
      <c r="D28" t="n">
        <v>24.9</v>
      </c>
      <c r="E28" t="n">
        <v>0</v>
      </c>
      <c r="F28" t="n">
        <v>24.9</v>
      </c>
      <c r="G28" t="n">
        <v>0</v>
      </c>
      <c r="H28" t="inlineStr">
        <is>
          <t>Revisado (Agregado - exento ROI)</t>
        </is>
      </c>
    </row>
    <row r="29">
      <c r="A29" s="117" t="n">
        <v>46203</v>
      </c>
      <c r="B29" t="inlineStr">
        <is>
          <t>RESUMEN_AMAZON_FR_202606_20</t>
        </is>
      </c>
      <c r="C29" t="inlineStr">
        <is>
          <t>Ventas Particulares 20% - Clientes Varios (Francia)</t>
        </is>
      </c>
      <c r="D29" t="n">
        <v>763.96</v>
      </c>
      <c r="E29" t="n">
        <v>153.01</v>
      </c>
      <c r="F29" t="n">
        <v>916.97</v>
      </c>
      <c r="G29" t="n">
        <v>0</v>
      </c>
      <c r="H29" t="inlineStr">
        <is>
          <t>Revisado (Agregado - OSS)</t>
        </is>
      </c>
    </row>
    <row r="30">
      <c r="A30" s="117" t="n">
        <v>46203</v>
      </c>
      <c r="B30" t="inlineStr">
        <is>
          <t>RESUMEN_AMAZON_FR_202606_00</t>
        </is>
      </c>
      <c r="C30" t="inlineStr">
        <is>
          <t>Ventas Empresas Intracomunitarias - Clientes Varios (Francia)</t>
        </is>
      </c>
      <c r="D30" t="n">
        <v>42.5</v>
      </c>
      <c r="E30" t="n">
        <v>0</v>
      </c>
      <c r="F30" t="n">
        <v>42.5</v>
      </c>
      <c r="G30" t="n">
        <v>0</v>
      </c>
      <c r="H30" t="inlineStr">
        <is>
          <t>Revisado (Agregado - exento ROI)</t>
        </is>
      </c>
    </row>
    <row r="31">
      <c r="A31" s="117" t="n">
        <v>46203</v>
      </c>
      <c r="B31" t="inlineStr">
        <is>
          <t>RESUMEN_AMAZON_IT_202606_22</t>
        </is>
      </c>
      <c r="C31" t="inlineStr">
        <is>
          <t>Ventas Particulares 22% - Clientes Varios (Italia)</t>
        </is>
      </c>
      <c r="D31" t="n">
        <v>160.11</v>
      </c>
      <c r="E31" t="n">
        <v>34.89</v>
      </c>
      <c r="F31" t="n">
        <v>195</v>
      </c>
      <c r="G31" t="n">
        <v>0</v>
      </c>
      <c r="H31" t="inlineStr">
        <is>
          <t>Revisado (Agregado - OSS)</t>
        </is>
      </c>
    </row>
    <row r="32">
      <c r="A32" s="117" t="n">
        <v>46203</v>
      </c>
      <c r="B32" t="inlineStr">
        <is>
          <t>RESUMEN_AMAZON_IT_202606_00</t>
        </is>
      </c>
      <c r="C32" t="inlineStr">
        <is>
          <t>Ventas Empresas Intracomunitarias - Clientes Varios (Italia)</t>
        </is>
      </c>
      <c r="D32" t="n">
        <v>53.77</v>
      </c>
      <c r="E32" t="n">
        <v>0</v>
      </c>
      <c r="F32" t="n">
        <v>53.77</v>
      </c>
      <c r="G32" t="n">
        <v>0</v>
      </c>
      <c r="H32" t="inlineStr">
        <is>
          <t>Revisado (Agregado - exento ROI)</t>
        </is>
      </c>
    </row>
    <row r="33">
      <c r="A33" s="117" t="n">
        <v>46203</v>
      </c>
      <c r="B33" t="inlineStr">
        <is>
          <t>RESUMEN_AMAZON_DK_202606_19</t>
        </is>
      </c>
      <c r="C33" t="inlineStr">
        <is>
          <t>Ventas Particulares 19% - Clientes Varios (Dinamarca)</t>
        </is>
      </c>
      <c r="D33" t="n">
        <v>10.95</v>
      </c>
      <c r="E33" t="n">
        <v>2.08</v>
      </c>
      <c r="F33" t="n">
        <v>13.03</v>
      </c>
      <c r="G33" t="n">
        <v>0</v>
      </c>
      <c r="H33" t="inlineStr">
        <is>
          <t>Revisado (Agregado - OSS)</t>
        </is>
      </c>
    </row>
    <row r="34">
      <c r="A34" s="117" t="n">
        <v>46203</v>
      </c>
      <c r="B34" t="inlineStr">
        <is>
          <t>RESUMEN_AMAZON_NL_202606_19</t>
        </is>
      </c>
      <c r="C34" t="inlineStr">
        <is>
          <t>Ventas Particulares 19% - Clientes Varios (Países Bajos)</t>
        </is>
      </c>
      <c r="D34" t="n">
        <v>10.95</v>
      </c>
      <c r="E34" t="n">
        <v>2.08</v>
      </c>
      <c r="F34" t="n">
        <v>13.03</v>
      </c>
      <c r="G34" t="n">
        <v>0</v>
      </c>
      <c r="H34" t="inlineStr">
        <is>
          <t>Revisado (Agregado - OSS)</t>
        </is>
      </c>
    </row>
    <row r="35">
      <c r="A35" s="117" t="n">
        <v>46203</v>
      </c>
      <c r="B35" t="inlineStr">
        <is>
          <t>RESUMEN_AMAZON_LU_202606_17</t>
        </is>
      </c>
      <c r="C35" t="inlineStr">
        <is>
          <t>Ventas Particulares 17% - Clientes Varios (Luxemburgo)</t>
        </is>
      </c>
      <c r="D35" t="n">
        <v>8.789999999999999</v>
      </c>
      <c r="E35" t="n">
        <v>1.5</v>
      </c>
      <c r="F35" t="n">
        <v>10.29</v>
      </c>
      <c r="G35" t="n">
        <v>0</v>
      </c>
      <c r="H35" t="inlineStr">
        <is>
          <t>Revisado (Agregado - OSS)</t>
        </is>
      </c>
    </row>
    <row r="36">
      <c r="A36" s="117" t="n">
        <v>46203</v>
      </c>
      <c r="B36" t="inlineStr">
        <is>
          <t>RESUMEN_AMAZON_BE_202606_21</t>
        </is>
      </c>
      <c r="C36" t="inlineStr">
        <is>
          <t>Ventas Particulares 21% - Clientes Varios (Bélgica)</t>
        </is>
      </c>
      <c r="D36" t="n">
        <v>13.59</v>
      </c>
      <c r="E36" t="n">
        <v>2.85</v>
      </c>
      <c r="F36" t="n">
        <v>16.44</v>
      </c>
      <c r="G36" t="n">
        <v>0</v>
      </c>
      <c r="H36" t="inlineStr">
        <is>
          <t>Revisado (Agregado - OSS)</t>
        </is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10" defaultColWidth="9" defaultRowHeight="14.25"/>
  <sheetData>
    <row r="1" ht="18" customHeight="1" s="81">
      <c r="A1" s="43" t="inlineStr">
        <is>
          <t>Retenciones detectadas</t>
        </is>
      </c>
      <c r="B1" s="24" t="n"/>
      <c r="C1" s="24" t="n"/>
      <c r="D1" s="24" t="n"/>
      <c r="E1" s="24" t="n"/>
      <c r="F1" s="24" t="n"/>
      <c r="G1" s="24" t="n"/>
      <c r="H1" s="87" t="n"/>
      <c r="I1" s="87" t="n"/>
      <c r="J1" s="87" t="n"/>
      <c r="K1" s="87" t="n"/>
      <c r="L1" s="87" t="n"/>
      <c r="M1" s="87" t="n"/>
      <c r="N1" s="87" t="n"/>
      <c r="O1" s="87" t="n"/>
      <c r="P1" s="87" t="n"/>
      <c r="Q1" s="87" t="n"/>
      <c r="R1" s="87" t="n"/>
      <c r="S1" s="87" t="n"/>
      <c r="T1" s="87" t="n"/>
      <c r="U1" s="87" t="n"/>
      <c r="V1" s="87" t="n"/>
      <c r="W1" s="87" t="n"/>
      <c r="X1" s="87" t="n"/>
      <c r="Y1" s="87" t="n"/>
      <c r="Z1" s="87" t="n"/>
    </row>
    <row r="3" ht="45" customHeight="1" s="81">
      <c r="A3" s="82" t="inlineStr">
        <is>
          <t>Tipo</t>
        </is>
      </c>
      <c r="B3" s="82" t="inlineStr">
        <is>
          <t>Base</t>
        </is>
      </c>
      <c r="C3" s="82" t="inlineStr">
        <is>
          <t>% Retención</t>
        </is>
      </c>
      <c r="D3" s="82" t="inlineStr">
        <is>
          <t>Importe retención</t>
        </is>
      </c>
      <c r="E3" s="82" t="inlineStr">
        <is>
          <t>Modelo</t>
        </is>
      </c>
      <c r="F3" s="82" t="inlineStr">
        <is>
          <t>Documento</t>
        </is>
      </c>
      <c r="G3" s="82" t="inlineStr">
        <is>
          <t>Observaciones</t>
        </is>
      </c>
    </row>
    <row r="4">
      <c r="A4" t="inlineStr">
        <is>
          <t>Alquiler</t>
        </is>
      </c>
      <c r="B4" s="84">
        <f>SUMIFS('Facturas recibidas'!K2:K150, 'Facturas recibidas'!X2:X150, "Sí", 'Facturas recibidas'!T2:T150, "Alquiler de local comercial sujeto a retención")</f>
        <v/>
      </c>
      <c r="C4" s="84" t="n">
        <v>0.19</v>
      </c>
      <c r="D4" s="84">
        <f>SUMIFS('Facturas recibidas'!S2:S150, 'Facturas recibidas'!X2:X150, "Sí", 'Facturas recibidas'!T2:T150, "Alquiler de local comercial sujeto a retención")</f>
        <v/>
      </c>
      <c r="E4" t="inlineStr">
        <is>
          <t>115</t>
        </is>
      </c>
      <c r="F4" t="inlineStr">
        <is>
          <t>Alquiler JUNIO 03-26 ANA BELEN FEIJOO.pdf</t>
        </is>
      </c>
      <c r="G4" t="inlineStr">
        <is>
          <t>Retención de alquiler de Rosa Fernández Da Bouza</t>
        </is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10" defaultColWidth="9" defaultRowHeight="14.25"/>
  <cols>
    <col width="47.875" customWidth="1" style="81" min="1" max="1"/>
    <col width="43.875" customWidth="1" style="81" min="2" max="2"/>
    <col width="10.5" customWidth="1" style="81" min="3" max="3"/>
    <col width="6.25" customWidth="1" style="81" min="4" max="4"/>
    <col width="9.625" customWidth="1" style="81" min="5" max="5"/>
    <col width="6.375" customWidth="1" style="81" min="6" max="6"/>
    <col width="10.5" customWidth="1" style="81" min="7" max="7"/>
    <col width="114.75" customWidth="1" style="81" min="8" max="8"/>
  </cols>
  <sheetData>
    <row r="1" ht="15" customHeight="1" s="81">
      <c r="A1" s="113" t="inlineStr">
        <is>
          <t>IVA por tipos y naturaleza de operación - 2T 2026</t>
        </is>
      </c>
      <c r="B1" s="24" t="n"/>
      <c r="C1" s="24" t="n"/>
      <c r="D1" s="24" t="n"/>
      <c r="E1" s="24" t="n"/>
      <c r="F1" s="24" t="n"/>
      <c r="G1" s="24" t="n"/>
      <c r="H1" s="24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87" t="n"/>
      <c r="Z1" s="87" t="n"/>
    </row>
    <row r="2">
      <c r="C2">
        <f>SUMIFS('Facturas recibidas'!K2:K150, 'Facturas recibidas'!X2:X150, "Sí")</f>
        <v/>
      </c>
      <c r="E2">
        <f>SUMIFS('Facturas recibidas'!M2:M150, 'Facturas recibidas'!X2:X150, "Sí")</f>
        <v/>
      </c>
      <c r="G2">
        <f>SUMIFS('Facturas recibidas'!N2:N150, 'Facturas recibidas'!X2:X150, "Sí")</f>
        <v/>
      </c>
    </row>
    <row r="3" ht="30" customHeight="1" s="81">
      <c r="A3" s="82" t="inlineStr">
        <is>
          <t>IVA nacional 21%</t>
        </is>
      </c>
      <c r="B3" s="82" t="inlineStr">
        <is>
          <t>Incluye documentos con IVA 21% y fecha 01/04-30/06</t>
        </is>
      </c>
      <c r="C3" s="94">
        <f>SUMIFS('Facturas recibidas'!K2:K150, 'Facturas recibidas'!X2:X150, "Sí", 'Facturas recibidas'!L2:L150, 0.21, 'Facturas recibidas'!T2:T150, "&lt;&gt;Alquiler de local comercial sujeto a retención")</f>
        <v/>
      </c>
      <c r="D3" s="95" t="n">
        <v>0.21</v>
      </c>
      <c r="E3" s="94">
        <f>SUMIFS('Facturas recibidas'!M2:M150, 'Facturas recibidas'!X2:X150, "Sí", 'Facturas recibidas'!L2:L150, 0.21, 'Facturas recibidas'!T2:T150, "&lt;&gt;Alquiler de local comercial sujeto a retención")</f>
        <v/>
      </c>
      <c r="F3" s="94" t="n">
        <v>0</v>
      </c>
      <c r="G3" s="94">
        <f>SUMIFS('Facturas recibidas'!N2:N150, 'Facturas recibidas'!X2:X150, "Sí", 'Facturas recibidas'!L2:L150, 0.21, 'Facturas recibidas'!T2:T150, "&lt;&gt;Alquiler de local comercial sujeto a retención")</f>
        <v/>
      </c>
      <c r="H3" s="82" t="inlineStr">
        <is>
          <t>Incluye Amazon neto de notas de crédito, Amazon Ads España, Eurogrow, IONOS, Finetwork, Digi, Navapack, PlasticForte, Leroy Merlin, portes 21% de Ricardo Terán y facturas mixtas</t>
        </is>
      </c>
    </row>
    <row r="4">
      <c r="A4" t="inlineStr">
        <is>
          <t>Operaciones sin IVA / exentas</t>
        </is>
      </c>
      <c r="B4" t="inlineStr">
        <is>
          <t>Cuotas autónomos, seguros y facturas 0% a revisar</t>
        </is>
      </c>
      <c r="C4" s="90">
        <f>SUMIFS('Facturas recibidas'!K2:K150, 'Facturas recibidas'!X2:X150, "Sí", 'Facturas recibidas'!L2:L150, 0.0)</f>
        <v/>
      </c>
      <c r="D4" s="89" t="n">
        <v>0</v>
      </c>
      <c r="E4" s="90">
        <f>SUMIFS('Facturas recibidas'!M2:M150, 'Facturas recibidas'!X2:X150, "Sí", 'Facturas recibidas'!L2:L150, 0.0)</f>
        <v/>
      </c>
      <c r="F4" s="90" t="n">
        <v>0</v>
      </c>
      <c r="G4" s="90">
        <f>SUMIFS('Facturas recibidas'!N2:N150, 'Facturas recibidas'!X2:X150, "Sí", 'Facturas recibidas'!L2:L150, 0.0)</f>
        <v/>
      </c>
      <c r="H4" t="inlineStr">
        <is>
          <t>TGSS, comunidades, seguros préstamo, seguro coche, Amazon 0% y servicios sin IVA; revisar deducibilidad e ISP</t>
        </is>
      </c>
    </row>
    <row r="5">
      <c r="A5" t="inlineStr">
        <is>
          <t>Intracomunitarias bienes</t>
        </is>
      </c>
      <c r="B5" t="inlineStr">
        <is>
          <t>ARTEVASI Portugal y VIVEIROS CULTIFLOR con IVA 0, inversión sujeto pasivo</t>
        </is>
      </c>
      <c r="C5" s="90">
        <f>SUMIFS('Facturas recibidas'!K2:K150, 'Facturas recibidas'!X2:X150, "Sí", 'Facturas recibidas'!T2:T150, "Operación intracomunitaria con inversión sujeto pasivo")</f>
        <v/>
      </c>
      <c r="D5" s="89" t="n">
        <v>0.21</v>
      </c>
      <c r="E5" s="90" t="n">
        <v>0</v>
      </c>
      <c r="F5" s="90">
        <f>C5*0.21</f>
        <v/>
      </c>
      <c r="G5" s="90" t="n">
        <v>851.4299999999999</v>
      </c>
      <c r="H5" t="inlineStr">
        <is>
          <t>IVA devengado y deducible estimado al 21% si procede; confirmar tipo español aplicable a cada mercancía</t>
        </is>
      </c>
    </row>
    <row r="6">
      <c r="A6" t="inlineStr">
        <is>
          <t>Servicios intracomunitarios</t>
        </is>
      </c>
      <c r="B6" t="inlineStr">
        <is>
          <t>Amazon Ads Italia/Francia y Stripe Irlanda con reverse charge</t>
        </is>
      </c>
      <c r="C6" s="90">
        <f>SUMIFS('Facturas recibidas'!K2:K150, 'Facturas recibidas'!X2:X150, "Sí", 'Facturas recibidas'!T2:T150, "Servicio intracomunitario con inversión sujeto pasivo")</f>
        <v/>
      </c>
      <c r="D6" s="89" t="n">
        <v>0.21</v>
      </c>
      <c r="E6" s="90" t="n">
        <v>0</v>
      </c>
      <c r="F6" s="90">
        <f>C6*0.21</f>
        <v/>
      </c>
      <c r="G6" s="90" t="n">
        <v>69.81999999999999</v>
      </c>
      <c r="H6" t="inlineStr">
        <is>
          <t>Reverse charge estimado; Stripe tiene NIF cliente no informado, revisar cuenta fiscal</t>
        </is>
      </c>
    </row>
    <row r="7">
      <c r="A7" t="inlineStr">
        <is>
          <t>IVA nacional 10%</t>
        </is>
      </c>
      <c r="B7" t="inlineStr">
        <is>
          <t>Suministros/mercancías al 10% incluidos en 2T</t>
        </is>
      </c>
      <c r="C7" s="90">
        <f>SUMIFS('Facturas recibidas'!K2:K150, 'Facturas recibidas'!X2:X150, "Sí", 'Facturas recibidas'!L2:L150, 0.10)</f>
        <v/>
      </c>
      <c r="D7" s="89" t="n">
        <v>0.1</v>
      </c>
      <c r="E7" s="90">
        <f>SUMIFS('Facturas recibidas'!M2:M150, 'Facturas recibidas'!X2:X150, "Sí", 'Facturas recibidas'!L2:L150, 0.10)</f>
        <v/>
      </c>
      <c r="F7" s="90" t="n">
        <v>0</v>
      </c>
      <c r="G7" s="90">
        <f>SUMIFS('Facturas recibidas'!N2:N150, 'Facturas recibidas'!X2:X150, "Sí", 'Facturas recibidas'!L2:L150, 0.10)</f>
        <v/>
      </c>
      <c r="H7" t="inlineStr">
        <is>
          <t>Iberdrola, Siro, Projar y Ricardo Terán; revisar afectación/deducibilidad</t>
        </is>
      </c>
    </row>
    <row r="8">
      <c r="A8" t="inlineStr">
        <is>
          <t>Servicios no UE / ISP pendiente</t>
        </is>
      </c>
      <c r="B8" t="inlineStr">
        <is>
          <t>Mentoring AMZ Group LLC - Club TPP Elite</t>
        </is>
      </c>
      <c r="C8" s="90">
        <f>SUMIFS('Facturas recibidas'!K2:K150, 'Facturas recibidas'!X2:X150, "Sí", 'Facturas recibidas'!T2:T150, "Servicio de proveedor no UE sin IVA español")</f>
        <v/>
      </c>
      <c r="D8" s="89" t="n">
        <v>0.21</v>
      </c>
      <c r="E8" s="90" t="n">
        <v>0</v>
      </c>
      <c r="F8" s="90">
        <f>C8*0.21</f>
        <v/>
      </c>
      <c r="G8" s="90" t="n">
        <v>100</v>
      </c>
      <c r="H8" t="inlineStr">
        <is>
          <t>No se incorpora como IVA soportado definitivo hasta revisar inversión sujeto pasivo/afectación</t>
        </is>
      </c>
    </row>
    <row r="9">
      <c r="A9" t="inlineStr">
        <is>
          <t>Importaciones/servicios fuera UE</t>
        </is>
      </c>
      <c r="B9" t="inlineStr">
        <is>
          <t>Alibaba/Wuhan China</t>
        </is>
      </c>
      <c r="C9" s="90">
        <f>SUMIFS('Facturas recibidas'!K2:K150, 'Facturas recibidas'!X2:X150, "Sí", 'Facturas recibidas'!T2:T150, "Compra exterior sin IVA español")</f>
        <v/>
      </c>
      <c r="D9" s="89" t="n">
        <v>0</v>
      </c>
      <c r="E9" s="90" t="n">
        <v>0</v>
      </c>
      <c r="F9" s="90" t="n">
        <v>0</v>
      </c>
      <c r="G9" s="90" t="n">
        <v>632.02</v>
      </c>
      <c r="H9" t="inlineStr">
        <is>
          <t>Pendiente DUA, justificante de pago y conversión EUR</t>
        </is>
      </c>
    </row>
    <row r="10">
      <c r="A10" t="inlineStr">
        <is>
          <t>Fuera de periodo 2T</t>
        </is>
      </c>
      <c r="B10" t="inlineStr">
        <is>
          <t>Documentos de enero, febrero y marzo</t>
        </is>
      </c>
      <c r="C10" s="90">
        <f>SUMIFS('Facturas recibidas'!K2:K150, 'Facturas recibidas'!X2:X150, "No")</f>
        <v/>
      </c>
      <c r="D10" s="90" t="n"/>
      <c r="E10" s="90">
        <f>SUMIFS('Facturas recibidas'!M2:M150, 'Facturas recibidas'!X2:X150, "No")</f>
        <v/>
      </c>
      <c r="F10" s="90" t="n"/>
      <c r="G10" s="90">
        <f>SUMIFS('Facturas recibidas'!N2:N150, 'Facturas recibidas'!X2:X150, "No")</f>
        <v/>
      </c>
      <c r="H10" t="inlineStr">
        <is>
          <t>No incluir en 2T salvo corrección/criterio de devengo/caja distinto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0" defaultColWidth="9" defaultRowHeight="14.25"/>
  <cols>
    <col width="10.625" customWidth="1" style="81" min="1" max="1"/>
    <col width="47.625" customWidth="1" style="81" min="2" max="2"/>
    <col width="9.375" customWidth="1" style="81" min="3" max="3"/>
    <col width="35.375" customWidth="1" style="81" min="4" max="4"/>
    <col width="73" customWidth="1" style="81" min="5" max="5"/>
    <col width="76.75" customWidth="1" style="81" min="6" max="6"/>
    <col width="9.25" customWidth="1" style="81" min="7" max="7"/>
  </cols>
  <sheetData>
    <row r="1" ht="15" customHeight="1" s="81">
      <c r="A1" s="16" t="inlineStr">
        <is>
          <t>Severidad</t>
        </is>
      </c>
      <c r="B1" s="16" t="inlineStr">
        <is>
          <t>Documento</t>
        </is>
      </c>
      <c r="C1" s="16" t="inlineStr">
        <is>
          <t>Fecha</t>
        </is>
      </c>
      <c r="D1" s="16" t="inlineStr">
        <is>
          <t>Proveedor</t>
        </is>
      </c>
      <c r="E1" s="16" t="inlineStr">
        <is>
          <t>Alerta</t>
        </is>
      </c>
      <c r="F1" s="16" t="inlineStr">
        <is>
          <t>Acción recomendada</t>
        </is>
      </c>
      <c r="G1" s="16" t="inlineStr">
        <is>
          <t>Estado</t>
        </is>
      </c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87" t="n"/>
      <c r="Z1" s="87" t="n"/>
    </row>
    <row r="2">
      <c r="A2" t="inlineStr">
        <is>
          <t>Alta</t>
        </is>
      </c>
      <c r="B2" t="inlineStr">
        <is>
          <t>CN20260507ES</t>
        </is>
      </c>
      <c r="C2" s="83" t="n">
        <v>46149</v>
      </c>
      <c r="D2" t="inlineStr">
        <is>
          <t>WUHAN BOSA SHIPPING CO., LTD</t>
        </is>
      </c>
      <c r="E2" t="inlineStr">
        <is>
          <t>Importe en USD sin conversión a EUR y sin IVA/DUA claro</t>
        </is>
      </c>
      <c r="F2" t="inlineStr">
        <is>
          <t>Solicitar justificante de pago, tipo de cambio aplicado y documentación de importación/DUA si existe.</t>
        </is>
      </c>
      <c r="G2" t="inlineStr">
        <is>
          <t>Pendiente</t>
        </is>
      </c>
    </row>
    <row r="3">
      <c r="A3" t="inlineStr">
        <is>
          <t>Alta</t>
        </is>
      </c>
      <c r="B3" t="inlineStr">
        <is>
          <t>LX2251204</t>
        </is>
      </c>
      <c r="C3" s="83" t="n">
        <v>46028</v>
      </c>
      <c r="D3" t="inlineStr">
        <is>
          <t>JINHUA LANXIANG IMPORT &amp; EXPORT CO., LTD</t>
        </is>
      </c>
      <c r="E3" t="inlineStr">
        <is>
          <t>Documento fuera de 2T y compra exterior EXW sin DUA/IVA importación</t>
        </is>
      </c>
      <c r="F3" t="inlineStr">
        <is>
          <t>No incluir en 2T; revisar 1T y documentación aduanera/pago.</t>
        </is>
      </c>
      <c r="G3" t="inlineStr">
        <is>
          <t>Pendiente</t>
        </is>
      </c>
    </row>
    <row r="4">
      <c r="A4" t="inlineStr">
        <is>
          <t>Media</t>
        </is>
      </c>
      <c r="B4" t="inlineStr">
        <is>
          <t>FA 2026/11490</t>
        </is>
      </c>
      <c r="C4" s="83" t="n">
        <v>46129</v>
      </c>
      <c r="D4" t="inlineStr">
        <is>
          <t>ARTEVASI, S.A.</t>
        </is>
      </c>
      <c r="E4" t="inlineStr">
        <is>
          <t>Factura UE con IVA 0 por exención RITI</t>
        </is>
      </c>
      <c r="F4" t="inlineStr">
        <is>
          <t>Comprobar alta ROI/VIES y autorrepercusión en modelo 303 si procede.</t>
        </is>
      </c>
      <c r="G4" t="inlineStr">
        <is>
          <t>Pendiente</t>
        </is>
      </c>
    </row>
    <row r="5">
      <c r="A5" t="inlineStr">
        <is>
          <t>Media</t>
        </is>
      </c>
      <c r="B5" t="inlineStr">
        <is>
          <t>729324MTPA26 / 765354G5PA26 / 963144G5PA26</t>
        </is>
      </c>
      <c r="C5" s="83" t="n">
        <v>46175</v>
      </c>
      <c r="D5" t="inlineStr">
        <is>
          <t>Amazon Online Italy/France</t>
        </is>
      </c>
      <c r="E5" t="inlineStr">
        <is>
          <t>Servicios intracomunitarios Amazon Ads con reverse charge</t>
        </is>
      </c>
      <c r="F5" t="inlineStr">
        <is>
          <t>Comprobar ROI/VIES, autorrepercusión y deducción en modelo 303.</t>
        </is>
      </c>
      <c r="G5" t="inlineStr">
        <is>
          <t>Pendiente</t>
        </is>
      </c>
    </row>
    <row r="6">
      <c r="A6" t="inlineStr">
        <is>
          <t>Media</t>
        </is>
      </c>
      <c r="B6" t="inlineStr">
        <is>
          <t>8489491A-0017</t>
        </is>
      </c>
      <c r="C6" s="83" t="n">
        <v>46147</v>
      </c>
      <c r="D6" t="inlineStr">
        <is>
          <t>MENTORING AMZ GROUP LLC</t>
        </is>
      </c>
      <c r="E6" t="inlineStr">
        <is>
          <t>Servicio de proveedor EE.UU. sin IVA</t>
        </is>
      </c>
      <c r="F6" t="inlineStr">
        <is>
          <t>Revisar si procede inversión del sujeto pasivo por servicio no UE y afectación a actividad.</t>
        </is>
      </c>
      <c r="G6" t="inlineStr">
        <is>
          <t>Pendiente</t>
        </is>
      </c>
    </row>
    <row r="7">
      <c r="A7" t="inlineStr">
        <is>
          <t>Media</t>
        </is>
      </c>
      <c r="B7" t="inlineStr">
        <is>
          <t>Adeudo seguro 08/04/2026</t>
        </is>
      </c>
      <c r="C7" s="83" t="n">
        <v>46120</v>
      </c>
      <c r="D7" t="inlineStr">
        <is>
          <t>Mutua Madrileña Automovilista</t>
        </is>
      </c>
      <c r="E7" t="inlineStr">
        <is>
          <t>Seguro de coche sin factura fiscal completa/posible afectación parcial</t>
        </is>
      </c>
      <c r="F7" t="inlineStr">
        <is>
          <t>Solicitar póliza/recibo y confirmar uso del vehículo en la actividad antes de deducir.</t>
        </is>
      </c>
      <c r="G7" t="inlineStr">
        <is>
          <t>Pendiente</t>
        </is>
      </c>
    </row>
    <row r="8">
      <c r="A8" t="inlineStr">
        <is>
          <t>Media</t>
        </is>
      </c>
      <c r="B8" t="inlineStr">
        <is>
          <t>ES-AEU-2026-320887 / ES-AEU-2026-463539</t>
        </is>
      </c>
      <c r="C8" s="83" t="n">
        <v>46173</v>
      </c>
      <c r="D8" t="inlineStr">
        <is>
          <t>Amazon EU S.à r.l., Sucursal en España</t>
        </is>
      </c>
      <c r="E8" t="inlineStr">
        <is>
          <t>Facturas Amazon al 0% con referencias LIVA art. 69, 21.5º y 64</t>
        </is>
      </c>
      <c r="F8" t="inlineStr">
        <is>
          <t>Revisar tratamiento fiscal, deducibilidad y casillas/modelo antes de declarar.</t>
        </is>
      </c>
      <c r="G8" t="inlineStr">
        <is>
          <t>Pendiente</t>
        </is>
      </c>
    </row>
    <row r="9">
      <c r="A9" t="inlineStr">
        <is>
          <t>Baja</t>
        </is>
      </c>
      <c r="B9" t="inlineStr">
        <is>
          <t>Notas de crédito Amazon</t>
        </is>
      </c>
      <c r="C9" s="83" t="n">
        <v>46173</v>
      </c>
      <c r="D9" t="inlineStr">
        <is>
          <t>Amazon EU S.à r.l., Sucursal en España</t>
        </is>
      </c>
      <c r="E9" t="inlineStr">
        <is>
          <t>Notas de crédito que minoran base e IVA soportado</t>
        </is>
      </c>
      <c r="F9" t="inlineStr">
        <is>
          <t>Comprobar que se imputan al periodo 2T y enlazan con facturas originales indicadas.</t>
        </is>
      </c>
      <c r="G9" t="inlineStr">
        <is>
          <t>Pendiente</t>
        </is>
      </c>
    </row>
    <row r="10">
      <c r="A10" t="inlineStr">
        <is>
          <t>Media</t>
        </is>
      </c>
      <c r="B10" t="inlineStr">
        <is>
          <t>Facturas con IVA mixto</t>
        </is>
      </c>
      <c r="C10" s="83" t="n">
        <v>46148</v>
      </c>
      <c r="D10" t="inlineStr">
        <is>
          <t>PROJAR / RICARDO TERÁN</t>
        </is>
      </c>
      <c r="E10" t="inlineStr">
        <is>
          <t>Facturas con partidas al 10% y 21%</t>
        </is>
      </c>
      <c r="F10" t="inlineStr">
        <is>
          <t>Se han desglosado en IVA por tipos; comprobar que el programa contable admite líneas separadas.</t>
        </is>
      </c>
      <c r="G10" t="inlineStr">
        <is>
          <t>Revisado</t>
        </is>
      </c>
    </row>
    <row r="11">
      <c r="A11" t="inlineStr">
        <is>
          <t>Baja</t>
        </is>
      </c>
      <c r="B11" t="inlineStr">
        <is>
          <t>Todos</t>
        </is>
      </c>
      <c r="C11" s="83" t="n"/>
      <c r="D11" t="inlineStr">
        <is>
          <t>ANA BELEN FEIJOO VIDUEIRA</t>
        </is>
      </c>
      <c r="E11" t="inlineStr">
        <is>
          <t>No se han aportado facturas emitidas</t>
        </is>
      </c>
      <c r="F11" t="inlineStr">
        <is>
          <t>Añadir facturas emitidas/ventas del cliente para calcular IVA repercutido e ingresos del trimestre.</t>
        </is>
      </c>
      <c r="G11" t="inlineStr">
        <is>
          <t>Pendiente</t>
        </is>
      </c>
    </row>
    <row r="12" ht="28.5" customHeight="1" s="81">
      <c r="A12" s="50" t="inlineStr">
        <is>
          <t>Baja</t>
        </is>
      </c>
      <c r="B12" s="50" t="inlineStr">
        <is>
          <t>Secuencia documental</t>
        </is>
      </c>
      <c r="C12" s="91" t="n"/>
      <c r="D12" s="50" t="inlineStr">
        <is>
          <t>ANA BELEN FEIJOO VIDUEIRA</t>
        </is>
      </c>
      <c r="E12" s="50" t="inlineStr">
        <is>
          <t>No se han aportado documentos 045, 054 y 055 en este bloque</t>
        </is>
      </c>
      <c r="F12" s="50" t="inlineStr">
        <is>
          <t>Mantener huecos de numeración o renumerar solo si la gestoría lo prefiere.</t>
        </is>
      </c>
      <c r="G12" s="50" t="inlineStr">
        <is>
          <t>Informativo</t>
        </is>
      </c>
    </row>
    <row r="13" ht="28.5" customHeight="1" s="81">
      <c r="A13" s="50" t="inlineStr">
        <is>
          <t>Media</t>
        </is>
      </c>
      <c r="B13" s="50" t="inlineStr">
        <is>
          <t>CU2024252668 / CU2024261474</t>
        </is>
      </c>
      <c r="C13" s="91" t="n">
        <v>46168</v>
      </c>
      <c r="D13" s="50" t="inlineStr">
        <is>
          <t>COMPRAS SEGURAS 2015 S.L.U. - Eurogrow</t>
        </is>
      </c>
      <c r="E13" s="50" t="inlineStr">
        <is>
          <t>Compra de vermiculita y artículos promocionales; afectación a actividad no acreditada en factura</t>
        </is>
      </c>
      <c r="F13" s="50" t="inlineStr">
        <is>
          <t>Confirmar relación con actividad económica y deducibilidad.</t>
        </is>
      </c>
      <c r="G13" s="50" t="inlineStr">
        <is>
          <t>Pendiente</t>
        </is>
      </c>
    </row>
    <row r="14">
      <c r="A14" s="50" t="inlineStr">
        <is>
          <t>Media</t>
        </is>
      </c>
      <c r="B14" s="50" t="inlineStr">
        <is>
          <t>CNP2600738822 / 21260327010178060</t>
        </is>
      </c>
      <c r="C14" s="91" t="n">
        <v>46108</v>
      </c>
      <c r="D14" s="50" t="inlineStr">
        <is>
          <t>Finetwork / Iberdrola</t>
        </is>
      </c>
      <c r="E14" s="50" t="inlineStr">
        <is>
          <t>Documentos emitidos antes de abril o de periodos previos incluidos en lote 2T</t>
        </is>
      </c>
      <c r="F14" s="50" t="inlineStr">
        <is>
          <t>No incluir en 2T salvo criterio fiscal distinto; revisar si aplica criterio de caja.</t>
        </is>
      </c>
      <c r="G14" s="50" t="inlineStr">
        <is>
          <t>Pendiente</t>
        </is>
      </c>
    </row>
    <row r="15" ht="28.5" customHeight="1" s="81">
      <c r="A15" s="50" t="inlineStr">
        <is>
          <t>Alta</t>
        </is>
      </c>
      <c r="B15" s="50" t="inlineStr">
        <is>
          <t>CNP2601150107 / 21260430010173606 / 21260529010183856</t>
        </is>
      </c>
      <c r="C15" s="91" t="n">
        <v>46171</v>
      </c>
      <c r="D15" s="50" t="inlineStr">
        <is>
          <t>Finetwork / Iberdrola</t>
        </is>
      </c>
      <c r="E15" s="50" t="inlineStr">
        <is>
          <t>Telecomunicaciones y electricidad en domicilio: deducibilidad y porcentaje de afectación a revisar</t>
        </is>
      </c>
      <c r="F15" s="50" t="inlineStr">
        <is>
          <t>Solicitar criterio de afectación, metros declarados o uso profesional antes de deducir IVA/IRPF al 100%.</t>
        </is>
      </c>
      <c r="G15" s="50" t="inlineStr">
        <is>
          <t>Pendiente</t>
        </is>
      </c>
    </row>
    <row r="16">
      <c r="A16" t="inlineStr">
        <is>
          <t>Media</t>
        </is>
      </c>
      <c r="B16" t="inlineStr">
        <is>
          <t>Comunidad 065-066</t>
        </is>
      </c>
      <c r="C16" s="116" t="n">
        <v>46174</v>
      </c>
      <c r="D16" t="inlineStr">
        <is>
          <t>CDAD PROP CAMINO CANEIRO 12</t>
        </is>
      </c>
      <c r="E16" t="inlineStr">
        <is>
          <t>Justificantes bancarios de comunidad, sin factura con IVA</t>
        </is>
      </c>
      <c r="F16" t="inlineStr">
        <is>
          <t>Confirmar afectación del inmueble a la actividad y deducibilidad del gasto.</t>
        </is>
      </c>
      <c r="G16" t="inlineStr">
        <is>
          <t>Pendiente</t>
        </is>
      </c>
    </row>
    <row r="17">
      <c r="A17" t="inlineStr">
        <is>
          <t>Media</t>
        </is>
      </c>
      <c r="B17" t="inlineStr">
        <is>
          <t>CNP2602186099</t>
        </is>
      </c>
      <c r="C17" s="116" t="n">
        <v>46204</v>
      </c>
      <c r="D17" t="inlineStr">
        <is>
          <t>Finetwork</t>
        </is>
      </c>
      <c r="E17" t="inlineStr">
        <is>
          <t>Factura emitida en julio pero referida al consumo de junio</t>
        </is>
      </c>
      <c r="F17" t="inlineStr">
        <is>
          <t>Confirmar criterio de imputación al 2T antes de presentar el Modelo 303.</t>
        </is>
      </c>
      <c r="G17" t="inlineStr">
        <is>
          <t>Pendiente</t>
        </is>
      </c>
    </row>
    <row r="18">
      <c r="A18" t="inlineStr">
        <is>
          <t>Media</t>
        </is>
      </c>
      <c r="B18" t="inlineStr">
        <is>
          <t>1179317G5PA26 / 879336MTPA26</t>
        </is>
      </c>
      <c r="C18" s="116" t="n">
        <v>46205</v>
      </c>
      <c r="D18" t="inlineStr">
        <is>
          <t>Amazon Ads FR/IT</t>
        </is>
      </c>
      <c r="E18" t="inlineStr">
        <is>
          <t>Servicios intracomunitarios con reverse charge y periodo que cruza 2T/3T</t>
        </is>
      </c>
      <c r="F18" t="inlineStr">
        <is>
          <t>Revisar ROI/VIES, autorrepercusión y prorrateo si se decide imputar parcialmente.</t>
        </is>
      </c>
      <c r="G18" t="inlineStr">
        <is>
          <t>Pendiente</t>
        </is>
      </c>
    </row>
    <row r="19">
      <c r="A19" t="inlineStr">
        <is>
          <t>Media</t>
        </is>
      </c>
      <c r="B19" t="inlineStr">
        <is>
          <t>864039MUPA26</t>
        </is>
      </c>
      <c r="C19" s="116" t="n">
        <v>46205</v>
      </c>
      <c r="D19" t="inlineStr">
        <is>
          <t>Amazon Online Spain</t>
        </is>
      </c>
      <c r="E19" t="inlineStr">
        <is>
          <t>Publicidad España emitida 02/07 con periodo 27/06-02/07</t>
        </is>
      </c>
      <c r="F19" t="inlineStr">
        <is>
          <t>Revisar imputación temporal; en este cálculo se incluye por petición del cliente.</t>
        </is>
      </c>
      <c r="G19" t="inlineStr">
        <is>
          <t>Pendiente</t>
        </is>
      </c>
    </row>
    <row r="20">
      <c r="A20" t="inlineStr">
        <is>
          <t>Baja</t>
        </is>
      </c>
      <c r="B20" t="inlineStr">
        <is>
          <t>065-080</t>
        </is>
      </c>
      <c r="C20" s="116" t="n"/>
      <c r="D20" t="inlineStr">
        <is>
          <t>ANA BELEN FEIJOO VIDUEIRA</t>
        </is>
      </c>
      <c r="E20" t="inlineStr">
        <is>
          <t>Se han añadido 16 documentos nuevos al cálculo 2T</t>
        </is>
      </c>
      <c r="F20" t="inlineStr">
        <is>
          <t>Revisar que no existan duplicados con libros previos antes de importar a programa contable.</t>
        </is>
      </c>
      <c r="G20" t="inlineStr">
        <is>
          <t>Informativo</t>
        </is>
      </c>
    </row>
    <row r="21">
      <c r="A21" t="inlineStr">
        <is>
          <t>Media</t>
        </is>
      </c>
      <c r="B21" t="inlineStr">
        <is>
          <t>CNP2600738822 / 21260327010178060</t>
        </is>
      </c>
      <c r="C21" s="83" t="n">
        <v>46108</v>
      </c>
      <c r="D21" t="inlineStr">
        <is>
          <t>Finetwork / Iberdrola</t>
        </is>
      </c>
      <c r="E21" t="inlineStr">
        <is>
          <t>Documentos emitidos antes de abril o de periodos previos incluidos en lote 2T</t>
        </is>
      </c>
      <c r="F21" t="inlineStr">
        <is>
          <t>No incluir en 2T salvo criterio fiscal distinto; revisar si aplica criterio de caja.</t>
        </is>
      </c>
      <c r="G21" t="inlineStr">
        <is>
          <t>Pendiente</t>
        </is>
      </c>
    </row>
    <row r="22">
      <c r="A22" t="inlineStr">
        <is>
          <t>Media</t>
        </is>
      </c>
      <c r="B22" t="inlineStr">
        <is>
          <t>CNP2600738822 / 21260327010178060</t>
        </is>
      </c>
      <c r="C22" s="83" t="n">
        <v>46108</v>
      </c>
      <c r="D22" t="inlineStr">
        <is>
          <t>Finetwork / Iberdrola</t>
        </is>
      </c>
      <c r="E22" t="inlineStr">
        <is>
          <t>Documentos emitidos antes de abril o de periodos previos incluidos en lote 2T</t>
        </is>
      </c>
      <c r="F22" t="inlineStr">
        <is>
          <t>No incluir en 2T salvo criterio fiscal distinto; revisar si aplica criterio de caja.</t>
        </is>
      </c>
      <c r="G22" t="inlineStr">
        <is>
          <t>Pendiente</t>
        </is>
      </c>
    </row>
    <row r="23">
      <c r="A23" s="50" t="inlineStr">
        <is>
          <t>Nuevo lote 081-089</t>
        </is>
      </c>
      <c r="B23" s="50" t="inlineStr">
        <is>
          <t>Facturas Cultiflor duplicadas</t>
        </is>
      </c>
      <c r="C23" s="91" t="inlineStr">
        <is>
          <t>Solo se ha añadido una vez la factura FTRWE 125SEC426/71, pese a haberse subido duplicada.</t>
        </is>
      </c>
      <c r="D23" s="50" t="inlineStr">
        <is>
          <t>Media</t>
        </is>
      </c>
      <c r="E23" s="50" t="inlineStr">
        <is>
          <t>Revisar que no se duplique en el libro definitivo</t>
        </is>
      </c>
      <c r="F23" s="50" t="inlineStr">
        <is>
          <t>Pendiente</t>
        </is>
      </c>
      <c r="G23" s="50" t="inlineStr">
        <is>
          <t>089</t>
        </is>
      </c>
    </row>
    <row r="24">
      <c r="A24" s="50" t="inlineStr">
        <is>
          <t>Nuevo lote 081-089</t>
        </is>
      </c>
      <c r="B24" s="50" t="inlineStr">
        <is>
          <t>Stripe sin NIF cliente informado</t>
        </is>
      </c>
      <c r="C24" s="91" t="inlineStr">
        <is>
          <t>La factura de Stripe indica Customer NIF Number Not Provided.</t>
        </is>
      </c>
      <c r="D24" s="50" t="inlineStr">
        <is>
          <t>Media</t>
        </is>
      </c>
      <c r="E24" s="50" t="inlineStr">
        <is>
          <t>Corregir datos fiscales en Stripe si procede y confirmar ISP</t>
        </is>
      </c>
      <c r="F24" s="50" t="inlineStr">
        <is>
          <t>Pendiente</t>
        </is>
      </c>
      <c r="G24" s="50" t="inlineStr">
        <is>
          <t>086</t>
        </is>
      </c>
    </row>
    <row r="25">
      <c r="A25" s="50" t="inlineStr">
        <is>
          <t>Nuevo lote 081-089</t>
        </is>
      </c>
      <c r="B25" s="50" t="inlineStr">
        <is>
          <t>Seguros préstamo</t>
        </is>
      </c>
      <c r="C25" s="91" t="inlineStr">
        <is>
          <t>Existen justificantes bancarios, no factura con desglose; sin IVA.</t>
        </is>
      </c>
      <c r="D25" s="50" t="inlineStr">
        <is>
          <t>Media</t>
        </is>
      </c>
      <c r="E25" s="50" t="inlineStr">
        <is>
          <t>Confirmar afectación del préstamo a la actividad antes de deducir en IRPF</t>
        </is>
      </c>
      <c r="F25" s="50" t="inlineStr">
        <is>
          <t>Pendiente</t>
        </is>
      </c>
      <c r="G25" s="50" t="inlineStr">
        <is>
          <t>083-085</t>
        </is>
      </c>
    </row>
    <row r="26">
      <c r="A26" s="50" t="inlineStr">
        <is>
          <t>Nuevo lote 081-089</t>
        </is>
      </c>
      <c r="B26" s="50" t="inlineStr">
        <is>
          <t>Viveiros Portugal</t>
        </is>
      </c>
      <c r="C26" s="91" t="inlineStr">
        <is>
          <t>Facturas exentas art. 14 RITI; se ha estimado ISP al 21%, pero el tipo español aplicable debe confirmarse.</t>
        </is>
      </c>
      <c r="D26" s="50" t="inlineStr">
        <is>
          <t>Alta</t>
        </is>
      </c>
      <c r="E26" s="50" t="inlineStr">
        <is>
          <t>Revisar tipo IVA español por producto antes de presentar modelo 303</t>
        </is>
      </c>
      <c r="F26" s="50" t="inlineStr">
        <is>
          <t>Pendiente</t>
        </is>
      </c>
      <c r="G26" s="50" t="inlineStr">
        <is>
          <t>088-089</t>
        </is>
      </c>
    </row>
    <row r="27">
      <c r="A27" s="50" t="inlineStr">
        <is>
          <t>Nuevo lote 081-089</t>
        </is>
      </c>
      <c r="B27" s="50" t="inlineStr">
        <is>
          <t>TPP EE.UU.</t>
        </is>
      </c>
      <c r="C27" s="91" t="inlineStr">
        <is>
          <t>Servicio de proveedor no UE sin IVA; posible inversión del sujeto pasivo.</t>
        </is>
      </c>
      <c r="D27" s="50" t="inlineStr">
        <is>
          <t>Media</t>
        </is>
      </c>
      <c r="E27" s="50" t="inlineStr">
        <is>
          <t>Confirmar afectación a actividad y casilla de ISP no UE</t>
        </is>
      </c>
      <c r="F27" s="50" t="inlineStr">
        <is>
          <t>Pendiente</t>
        </is>
      </c>
      <c r="G27" s="50" t="inlineStr">
        <is>
          <t>087</t>
        </is>
      </c>
    </row>
    <row r="28">
      <c r="C28" s="83" t="n"/>
    </row>
    <row r="29">
      <c r="C29" s="83" t="n"/>
    </row>
    <row r="30">
      <c r="C30" s="83" t="n"/>
    </row>
    <row r="31">
      <c r="C31" s="83" t="n"/>
    </row>
    <row r="32">
      <c r="C32" s="83" t="n"/>
    </row>
    <row r="33">
      <c r="C33" s="83" t="n"/>
    </row>
    <row r="34">
      <c r="C34" s="83" t="n"/>
    </row>
    <row r="35">
      <c r="C35" s="83" t="n"/>
    </row>
    <row r="36">
      <c r="C36" s="83" t="n"/>
    </row>
    <row r="37">
      <c r="C37" s="83" t="n"/>
    </row>
    <row r="38">
      <c r="C38" s="83" t="n"/>
    </row>
    <row r="39">
      <c r="C39" s="83" t="n"/>
    </row>
    <row r="40">
      <c r="C40" s="83" t="n"/>
    </row>
    <row r="41">
      <c r="C41" s="83" t="n"/>
    </row>
    <row r="42">
      <c r="C42" s="83" t="n"/>
    </row>
    <row r="43">
      <c r="C43" s="83" t="n"/>
    </row>
    <row r="44">
      <c r="C44" s="83" t="n"/>
    </row>
    <row r="45">
      <c r="C45" s="83" t="n"/>
    </row>
    <row r="46">
      <c r="C46" s="83" t="n"/>
    </row>
    <row r="47">
      <c r="C47" s="83" t="n"/>
    </row>
    <row r="48">
      <c r="C48" s="83" t="n"/>
    </row>
    <row r="49">
      <c r="C49" s="83" t="n"/>
    </row>
    <row r="50">
      <c r="C50" s="83" t="n"/>
    </row>
    <row r="51">
      <c r="C51" s="83" t="n"/>
    </row>
    <row r="52">
      <c r="C52" s="83" t="n"/>
    </row>
    <row r="53">
      <c r="C53" s="83" t="n"/>
    </row>
    <row r="54">
      <c r="C54" s="83" t="n"/>
    </row>
    <row r="55">
      <c r="C55" s="83" t="n"/>
    </row>
    <row r="56">
      <c r="C56" s="83" t="n"/>
    </row>
    <row r="57">
      <c r="C57" s="83" t="n"/>
    </row>
    <row r="58">
      <c r="C58" s="83" t="n"/>
    </row>
    <row r="59">
      <c r="C59" s="83" t="n"/>
    </row>
    <row r="60">
      <c r="C60" s="83" t="n"/>
    </row>
    <row r="61">
      <c r="C61" s="83" t="n"/>
    </row>
    <row r="62">
      <c r="C62" s="83" t="n"/>
    </row>
    <row r="63">
      <c r="C63" s="83" t="n"/>
    </row>
    <row r="64">
      <c r="C64" s="83" t="n"/>
    </row>
    <row r="65">
      <c r="C65" s="83" t="n"/>
    </row>
    <row r="66">
      <c r="C66" s="83" t="n"/>
    </row>
    <row r="67">
      <c r="C67" s="83" t="n"/>
    </row>
    <row r="68">
      <c r="C68" s="83" t="n"/>
    </row>
    <row r="69">
      <c r="C69" s="83" t="n"/>
    </row>
    <row r="70">
      <c r="C70" s="83" t="n"/>
    </row>
    <row r="71">
      <c r="C71" s="83" t="n"/>
    </row>
    <row r="72">
      <c r="C72" s="83" t="n"/>
    </row>
    <row r="73">
      <c r="C73" s="83" t="n"/>
    </row>
    <row r="74">
      <c r="C74" s="83" t="n"/>
    </row>
    <row r="75">
      <c r="C75" s="83" t="n"/>
    </row>
    <row r="76">
      <c r="C76" s="83" t="n"/>
    </row>
    <row r="77">
      <c r="C77" s="83" t="n"/>
    </row>
    <row r="78">
      <c r="C78" s="83" t="n"/>
    </row>
    <row r="79">
      <c r="C79" s="83" t="n"/>
    </row>
    <row r="80">
      <c r="C80" s="83" t="n"/>
    </row>
    <row r="81">
      <c r="C81" s="83" t="n"/>
    </row>
    <row r="82">
      <c r="C82" s="83" t="n"/>
    </row>
    <row r="83">
      <c r="C83" s="83" t="n"/>
    </row>
    <row r="84">
      <c r="C84" s="83" t="n"/>
    </row>
    <row r="85">
      <c r="C85" s="83" t="n"/>
    </row>
    <row r="86">
      <c r="C86" s="83" t="n"/>
    </row>
    <row r="87">
      <c r="C87" s="83" t="n"/>
    </row>
    <row r="88">
      <c r="C88" s="83" t="n"/>
    </row>
    <row r="89">
      <c r="C89" s="83" t="n"/>
    </row>
    <row r="90">
      <c r="C90" s="83" t="n"/>
    </row>
    <row r="91">
      <c r="C91" s="83" t="n"/>
    </row>
    <row r="92">
      <c r="C92" s="83" t="n"/>
    </row>
    <row r="93">
      <c r="C93" s="83" t="n"/>
    </row>
    <row r="94">
      <c r="C94" s="83" t="n"/>
    </row>
    <row r="95">
      <c r="C95" s="83" t="n"/>
    </row>
    <row r="96">
      <c r="C96" s="83" t="n"/>
    </row>
    <row r="97">
      <c r="C97" s="83" t="n"/>
    </row>
    <row r="98">
      <c r="C98" s="83" t="n"/>
    </row>
    <row r="99">
      <c r="C99" s="83" t="n"/>
    </row>
    <row r="100">
      <c r="C100" s="83" t="n"/>
    </row>
  </sheetData>
  <conditionalFormatting sqref="A2:A100">
    <cfRule type="expression" priority="1" dxfId="1">
      <formula>A2="Alta"</formula>
    </cfRule>
    <cfRule type="expression" priority="2" dxfId="0">
      <formula>A2="Media"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10" defaultColWidth="9" defaultRowHeight="14.25"/>
  <cols>
    <col width="40.875" customWidth="1" style="81" min="1" max="1"/>
    <col width="52" customWidth="1" style="81" min="2" max="2"/>
    <col width="17.125" customWidth="1" style="81" min="3" max="3"/>
    <col width="17.625" customWidth="1" style="81" min="4" max="4"/>
    <col width="71.25" customWidth="1" style="81" min="5" max="5"/>
    <col width="22.375" customWidth="1" style="81" min="6" max="6"/>
  </cols>
  <sheetData>
    <row r="1" ht="15" customHeight="1" s="81">
      <c r="A1" s="113" t="inlineStr">
        <is>
          <t>Preparación de modelos fiscales - 2T 2026</t>
        </is>
      </c>
      <c r="B1" s="24" t="n"/>
      <c r="C1" s="24" t="n"/>
      <c r="D1" s="24" t="n"/>
      <c r="E1" s="24" t="n"/>
      <c r="F1" s="24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87" t="n"/>
      <c r="Z1" s="87" t="n"/>
    </row>
    <row r="3" ht="30" customHeight="1" s="81">
      <c r="A3" s="82" t="inlineStr">
        <is>
          <t>Modelo</t>
        </is>
      </c>
      <c r="B3" s="82" t="inlineStr">
        <is>
          <t>Concepto</t>
        </is>
      </c>
      <c r="C3" s="82" t="inlineStr">
        <is>
          <t>Importe/Base EUR</t>
        </is>
      </c>
      <c r="D3" s="82" t="inlineStr">
        <is>
          <t>IVA/Retención EUR</t>
        </is>
      </c>
      <c r="E3" s="82" t="inlineStr">
        <is>
          <t>Criterio</t>
        </is>
      </c>
      <c r="F3" s="82" t="inlineStr">
        <is>
          <t>Estado</t>
        </is>
      </c>
    </row>
    <row r="4">
      <c r="A4" t="inlineStr">
        <is>
          <t>303</t>
        </is>
      </c>
      <c r="B4" t="inlineStr">
        <is>
          <t>IVA soportado deducible nacional 21%</t>
        </is>
      </c>
      <c r="C4" s="90">
        <f>'IVA por tipos'!C3 + 280.00</f>
        <v/>
      </c>
      <c r="D4" s="90">
        <f>'IVA por tipos'!E3 + 58.80</f>
        <v/>
      </c>
      <c r="E4" t="inlineStr">
        <is>
          <t>Facturas recibidas nacionales con IVA 21% incluidas en 2T, netas de notas de crédito y con nuevas facturas añadidas 081-089</t>
        </is>
      </c>
      <c r="F4" t="inlineStr">
        <is>
          <t>Preparado con salvedades</t>
        </is>
      </c>
    </row>
    <row r="5">
      <c r="A5" t="inlineStr">
        <is>
          <t>303</t>
        </is>
      </c>
      <c r="B5" t="inlineStr">
        <is>
          <t>IVA soportado nacional 10%</t>
        </is>
      </c>
      <c r="C5" s="90">
        <f>'IVA por tipos'!C7</f>
        <v/>
      </c>
      <c r="D5" s="90">
        <f>'IVA por tipos'!E7</f>
        <v/>
      </c>
      <c r="E5" t="inlineStr">
        <is>
          <t>Iberdrola, Siro, Projar y Ricardo Terán. Revisar afectación/deducibilidad antes de declarar.</t>
        </is>
      </c>
      <c r="F5" t="inlineStr">
        <is>
          <t>Pendiente de revisión</t>
        </is>
      </c>
    </row>
    <row r="6">
      <c r="A6" t="inlineStr">
        <is>
          <t>303</t>
        </is>
      </c>
      <c r="B6" t="inlineStr">
        <is>
          <t>Base adquisiciones intracomunitarias de bienes</t>
        </is>
      </c>
      <c r="C6" s="90">
        <f>'IVA por tipos'!C5</f>
        <v/>
      </c>
      <c r="D6" s="90">
        <f>'IVA por tipos'!F5</f>
        <v/>
      </c>
      <c r="E6" t="inlineStr">
        <is>
          <t>ARTEVASI Portugal y VIVEIROS CULTIFLOR. Revisar ROI/VIES, tipo de IVA español aplicable y casillas exactas del modelo.</t>
        </is>
      </c>
      <c r="F6" t="inlineStr">
        <is>
          <t>Pendiente de revisión</t>
        </is>
      </c>
    </row>
    <row r="7">
      <c r="A7" t="inlineStr">
        <is>
          <t>303</t>
        </is>
      </c>
      <c r="B7" t="inlineStr">
        <is>
          <t>IVA devengado por inversión sujeto pasivo intracomunitaria estimado</t>
        </is>
      </c>
      <c r="C7" s="90">
        <f>'IVA por tipos'!C5</f>
        <v/>
      </c>
      <c r="D7" s="90">
        <f>'IVA por tipos'!F5</f>
        <v/>
      </c>
      <c r="E7" t="inlineStr">
        <is>
          <t>Base intracomunitaria bienes x 21% estimado. Simétricamente deducible si procede.</t>
        </is>
      </c>
      <c r="F7" t="inlineStr">
        <is>
          <t>Pendiente de revisión</t>
        </is>
      </c>
    </row>
    <row r="8">
      <c r="A8" t="inlineStr">
        <is>
          <t>303</t>
        </is>
      </c>
      <c r="B8" t="inlineStr">
        <is>
          <t>Servicios intracomunitarios recibidos</t>
        </is>
      </c>
      <c r="C8" s="90">
        <f>'IVA por tipos'!C6</f>
        <v/>
      </c>
      <c r="D8" s="90">
        <f>'IVA por tipos'!F6</f>
        <v/>
      </c>
      <c r="E8" t="inlineStr">
        <is>
          <t>Amazon Ads Italia/Francia y Stripe Irlanda con reverse charge. Revisar imputación temporal y NIF fiscal en Stripe.</t>
        </is>
      </c>
      <c r="F8" t="inlineStr">
        <is>
          <t>Pendiente de revisión</t>
        </is>
      </c>
    </row>
    <row r="9">
      <c r="A9" t="inlineStr">
        <is>
          <t>303</t>
        </is>
      </c>
      <c r="B9" t="inlineStr">
        <is>
          <t>Servicio no UE TPP / posible ISP</t>
        </is>
      </c>
      <c r="C9" s="90">
        <f>'IVA por tipos'!C8</f>
        <v/>
      </c>
      <c r="D9" s="90">
        <f>'IVA por tipos'!F8</f>
        <v/>
      </c>
      <c r="E9" t="inlineStr">
        <is>
          <t>Proveedor EE.UU. sin IVA; incluye TPP 0017 y 0018. Revisar si procede inversión sujeto pasivo y afectación a actividad.</t>
        </is>
      </c>
      <c r="F9" t="inlineStr">
        <is>
          <t>Pendiente de revisión</t>
        </is>
      </c>
    </row>
    <row r="10">
      <c r="A10" t="inlineStr">
        <is>
          <t>303</t>
        </is>
      </c>
      <c r="B10" t="inlineStr">
        <is>
          <t>Importaciones / proveedor China</t>
        </is>
      </c>
      <c r="C10" s="90">
        <f>'IVA por tipos'!C9</f>
        <v/>
      </c>
      <c r="D10" s="90" t="n"/>
      <c r="E10" t="inlineStr">
        <is>
          <t>No hay base EUR ni DUA suficiente para incorporar IVA de importación.</t>
        </is>
      </c>
      <c r="F10" t="inlineStr">
        <is>
          <t>Pendiente de documentación</t>
        </is>
      </c>
    </row>
    <row r="11">
      <c r="A11" t="inlineStr">
        <is>
          <t>390</t>
        </is>
      </c>
      <c r="B11" t="inlineStr">
        <is>
          <t>Resumen anual IVA</t>
        </is>
      </c>
      <c r="C11" s="90" t="n">
        <v>0</v>
      </c>
      <c r="D11" s="90" t="n"/>
      <c r="E11" t="inlineStr">
        <is>
          <t>Usar acumulado anual; este Excel solo cubre lote 2T con algunos documentos fuera de periodo.</t>
        </is>
      </c>
      <c r="F11" t="inlineStr">
        <is>
          <t>Informativo</t>
        </is>
      </c>
    </row>
    <row r="12">
      <c r="A12" t="inlineStr">
        <is>
          <t>111</t>
        </is>
      </c>
      <c r="B12" t="inlineStr">
        <is>
          <t>Retenciones profesionales/trabajo</t>
        </is>
      </c>
      <c r="C12" s="90">
        <f>SUMIFS('Facturas recibidas'!K2:K150, 'Facturas recibidas'!X2:X150, "Sí", 'Facturas recibidas'!T2:T150, "Retenciones profesionales")</f>
        <v/>
      </c>
      <c r="D12" s="90">
        <f>SUMIFS('Facturas recibidas'!S2:S150, 'Facturas recibidas'!X2:X150, "Sí", 'Facturas recibidas'!T2:T150, "Retenciones profesionales")</f>
        <v/>
      </c>
      <c r="E12" t="inlineStr">
        <is>
          <t>No se detectan retenciones en documentos aportados.</t>
        </is>
      </c>
      <c r="F12" t="inlineStr">
        <is>
          <t>Sin importes</t>
        </is>
      </c>
    </row>
    <row r="13">
      <c r="A13" t="inlineStr">
        <is>
          <t>115</t>
        </is>
      </c>
      <c r="B13" t="inlineStr">
        <is>
          <t>Retenciones alquileres</t>
        </is>
      </c>
      <c r="C13" s="90">
        <f>SUMIFS('Facturas recibidas'!K2:K150, 'Facturas recibidas'!X2:X150, "Sí", 'Facturas recibidas'!T2:T150, "Alquiler de local comercial sujeto a retención")</f>
        <v/>
      </c>
      <c r="D13" s="90">
        <f>SUMIFS('Facturas recibidas'!S2:S150, 'Facturas recibidas'!X2:X150, "Sí", 'Facturas recibidas'!T2:T150, "Alquiler de local comercial sujeto a retención")</f>
        <v/>
      </c>
      <c r="E13" t="inlineStr">
        <is>
          <t>No se detectan alquileres sujetos a retención en los documentos aportados.</t>
        </is>
      </c>
      <c r="F13" t="inlineStr">
        <is>
          <t>Preparado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selection activeCell="A1" sqref="A1"/>
    </sheetView>
  </sheetViews>
  <sheetFormatPr baseColWidth="10" defaultColWidth="9" defaultRowHeight="14.25"/>
  <cols>
    <col width="5.125" customWidth="1" style="81" min="1" max="1"/>
    <col width="61.25" customWidth="1" style="81" min="2" max="2"/>
    <col width="16.625" customWidth="1" style="81" min="3" max="3"/>
    <col width="21.125" customWidth="1" style="81" min="4" max="4"/>
    <col width="36.25" customWidth="1" style="81" min="5" max="5"/>
    <col width="32" customWidth="1" style="81" min="6" max="6"/>
    <col width="16.25" customWidth="1" style="81" min="7" max="7"/>
    <col width="9.5" customWidth="1" style="81" min="8" max="8"/>
    <col width="16.625" customWidth="1" style="81" min="9" max="9"/>
    <col width="103.25" customWidth="1" style="81" min="10" max="10"/>
  </cols>
  <sheetData>
    <row r="1" ht="30" customHeight="1" s="81">
      <c r="A1" s="16" t="inlineStr">
        <is>
          <t>Nº</t>
        </is>
      </c>
      <c r="B1" s="16" t="inlineStr">
        <is>
          <t>Archivo</t>
        </is>
      </c>
      <c r="C1" s="16" t="inlineStr">
        <is>
          <t>Fecha documento</t>
        </is>
      </c>
      <c r="D1" s="16" t="inlineStr">
        <is>
          <t>Documento</t>
        </is>
      </c>
      <c r="E1" s="16" t="inlineStr">
        <is>
          <t>Proveedor</t>
        </is>
      </c>
      <c r="F1" s="16" t="inlineStr">
        <is>
          <t>Cliente/NIF</t>
        </is>
      </c>
      <c r="G1" s="16" t="inlineStr">
        <is>
          <t>Importe principal</t>
        </is>
      </c>
      <c r="H1" s="16" t="inlineStr">
        <is>
          <t>Moneda</t>
        </is>
      </c>
      <c r="I1" s="16" t="inlineStr">
        <is>
          <t>Estado</t>
        </is>
      </c>
      <c r="J1" s="16" t="inlineStr">
        <is>
          <t>Notas</t>
        </is>
      </c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87" t="n"/>
      <c r="Z1" s="87" t="n"/>
    </row>
    <row r="2">
      <c r="A2" t="n">
        <v>1</v>
      </c>
      <c r="B2" t="inlineStr">
        <is>
          <t>001_2T 2026_ALIBABA-COMPRA BOLSAS PARA CHALECOS.pdf</t>
        </is>
      </c>
      <c r="C2" s="83" t="n">
        <v>46028</v>
      </c>
      <c r="D2" t="inlineStr">
        <is>
          <t>LX2251204</t>
        </is>
      </c>
      <c r="E2" t="inlineStr">
        <is>
          <t>JINHUA LANXIANG IMPORT &amp; EXPORT CO., LTD</t>
        </is>
      </c>
      <c r="F2" t="inlineStr">
        <is>
          <t>ANA BELEN FEIJOO VIDUEIRA / 34975084L</t>
        </is>
      </c>
      <c r="G2" s="84" t="n">
        <v>997.27</v>
      </c>
      <c r="H2" t="inlineStr">
        <is>
          <t>USD</t>
        </is>
      </c>
      <c r="I2" t="inlineStr">
        <is>
          <t>Pendiente de revisión</t>
        </is>
      </c>
      <c r="J2" t="inlineStr">
        <is>
          <t>Importe EUR indicado como pagado en el documento. Falta DUA/IVA importación y tipo de cambio justificativo.</t>
        </is>
      </c>
    </row>
    <row r="3">
      <c r="A3" t="n">
        <v>2</v>
      </c>
      <c r="B3" t="inlineStr">
        <is>
          <t>002_2T 2026_Alibaba-Envio Chalecos+Cubre motos-Ana Feijoo---2026.05.03.pdf</t>
        </is>
      </c>
      <c r="C3" s="83" t="n">
        <v>46149</v>
      </c>
      <c r="D3" t="inlineStr">
        <is>
          <t>CN20260507ES</t>
        </is>
      </c>
      <c r="E3" t="inlineStr">
        <is>
          <t>WUHAN BOSA SHIPPING CO., LTD</t>
        </is>
      </c>
      <c r="F3" t="inlineStr">
        <is>
          <t>ANA BELEN FEIJOO VIDUEIRA / 34975084L</t>
        </is>
      </c>
      <c r="G3" s="84" t="n">
        <v>2718.1</v>
      </c>
      <c r="H3" t="inlineStr">
        <is>
          <t>USD</t>
        </is>
      </c>
      <c r="I3" t="inlineStr">
        <is>
          <t>Pendiente de revisión</t>
        </is>
      </c>
      <c r="J3" t="inlineStr">
        <is>
          <t>Falta conversión EUR, factura/justificante de pago y posible tratamiento de importación/DUA por condición DDP.</t>
        </is>
      </c>
    </row>
    <row r="4">
      <c r="A4" t="n">
        <v>3</v>
      </c>
      <c r="B4" t="inlineStr">
        <is>
          <t>003_2T 2026_ARTEVASI FA_2026_11490.pdf</t>
        </is>
      </c>
      <c r="C4" s="83" t="n">
        <v>46129</v>
      </c>
      <c r="D4" t="inlineStr">
        <is>
          <t>FA 2026/11490</t>
        </is>
      </c>
      <c r="E4" t="inlineStr">
        <is>
          <t>ARTEVASI, S.A.</t>
        </is>
      </c>
      <c r="F4" t="inlineStr">
        <is>
          <t>ANA BELEN FEIJOO VIDUEIRA / 34975084L</t>
        </is>
      </c>
      <c r="G4" s="84" t="n">
        <v>333.36</v>
      </c>
      <c r="H4" t="inlineStr">
        <is>
          <t>EUR</t>
        </is>
      </c>
      <c r="I4" t="inlineStr">
        <is>
          <t>Pendiente de revisión</t>
        </is>
      </c>
      <c r="J4" t="inlineStr">
        <is>
          <t>Proveedor UE con IVA 0. Requiere autorrepercusión y deducción si procede; base a declarar en operaciones intracomunitarias.</t>
        </is>
      </c>
    </row>
    <row r="5">
      <c r="A5" t="n">
        <v>4</v>
      </c>
      <c r="B5" t="inlineStr">
        <is>
          <t>004_2T 2026_AUCTANE ES26FC02107187.pdf</t>
        </is>
      </c>
      <c r="C5" s="83" t="n">
        <v>46119</v>
      </c>
      <c r="D5" t="inlineStr">
        <is>
          <t>ES26FC02107187</t>
        </is>
      </c>
      <c r="E5" t="inlineStr">
        <is>
          <t>AUCTANE S.L.U</t>
        </is>
      </c>
      <c r="F5" t="inlineStr">
        <is>
          <t>ANA BELEN FEIJOO VIDUEIRA / 34975084L</t>
        </is>
      </c>
      <c r="G5" s="84" t="n">
        <v>5.92</v>
      </c>
      <c r="H5" t="inlineStr">
        <is>
          <t>EUR</t>
        </is>
      </c>
      <c r="I5" t="inlineStr">
        <is>
          <t>Revisado</t>
        </is>
      </c>
      <c r="J5" t="inlineStr">
        <is>
          <t>Factura española con IVA 21%.</t>
        </is>
      </c>
    </row>
    <row r="6">
      <c r="A6" t="n">
        <v>5</v>
      </c>
      <c r="B6" t="inlineStr">
        <is>
          <t>005_2T 2026_Autonomos Abril.pdf</t>
        </is>
      </c>
      <c r="C6" s="83" t="n">
        <v>46142</v>
      </c>
      <c r="D6" t="inlineStr">
        <is>
          <t>Adeudo TGSS 04/2026</t>
        </is>
      </c>
      <c r="E6" t="inlineStr">
        <is>
          <t>TGSS - R.E. Autónomos</t>
        </is>
      </c>
      <c r="F6" t="inlineStr">
        <is>
          <t>ANA BELEN FEIJOO VIDUEIRA / 34975084L</t>
        </is>
      </c>
      <c r="G6" s="84" t="n">
        <v>299.57</v>
      </c>
      <c r="H6" t="inlineStr">
        <is>
          <t>EUR</t>
        </is>
      </c>
      <c r="I6" t="inlineStr">
        <is>
          <t>Revisado</t>
        </is>
      </c>
      <c r="J6" t="inlineStr">
        <is>
          <t>Cargo bancario de cuota de autónomos; sin IVA.</t>
        </is>
      </c>
    </row>
    <row r="7">
      <c r="A7" t="n">
        <v>6</v>
      </c>
      <c r="B7" t="inlineStr">
        <is>
          <t>006_2T 2026_Autonomos Mayo.pdf</t>
        </is>
      </c>
      <c r="C7" s="83" t="n">
        <v>46171</v>
      </c>
      <c r="D7" t="inlineStr">
        <is>
          <t>Adeudo TGSS 05/2026</t>
        </is>
      </c>
      <c r="E7" t="inlineStr">
        <is>
          <t>TGSS - R.E. Autónomos</t>
        </is>
      </c>
      <c r="F7" t="inlineStr">
        <is>
          <t>ANA BELEN FEIJOO VIDUEIRA / 34975084L</t>
        </is>
      </c>
      <c r="G7" s="84" t="n">
        <v>299.57</v>
      </c>
      <c r="H7" t="inlineStr">
        <is>
          <t>EUR</t>
        </is>
      </c>
      <c r="I7" t="inlineStr">
        <is>
          <t>Revisado</t>
        </is>
      </c>
      <c r="J7" t="inlineStr">
        <is>
          <t>Cargo bancario de cuota de autónomos; sin IVA.</t>
        </is>
      </c>
    </row>
    <row r="8">
      <c r="A8" t="n">
        <v>7</v>
      </c>
      <c r="B8" t="inlineStr">
        <is>
          <t>007_2T 2026_CHATGPT FERBERO Invoice-BIZPYPT5-0010.pdf</t>
        </is>
      </c>
      <c r="C8" s="83" t="n">
        <v>46081</v>
      </c>
      <c r="D8" t="inlineStr">
        <is>
          <t>BIZPYPT5-0010</t>
        </is>
      </c>
      <c r="E8" t="inlineStr">
        <is>
          <t>OpenAI Ireland Limited</t>
        </is>
      </c>
      <c r="F8" t="inlineStr">
        <is>
          <t>ANA BELEN FEIJOO VIDUEIRA / 34975084L</t>
        </is>
      </c>
      <c r="G8" s="84" t="n">
        <v>19.01</v>
      </c>
      <c r="H8" t="inlineStr">
        <is>
          <t>EUR</t>
        </is>
      </c>
      <c r="I8" t="inlineStr">
        <is>
          <t>Fuera de periodo 2T</t>
        </is>
      </c>
      <c r="J8" t="inlineStr">
        <is>
          <t>Factura 0% reverse charge. Pertenece a febrero, no a 2T.</t>
        </is>
      </c>
    </row>
    <row r="9">
      <c r="A9" t="n">
        <v>8</v>
      </c>
      <c r="B9" t="inlineStr">
        <is>
          <t>008_2T 2026_CHATGPT Invoice-FDE174A8-0028.pdf</t>
        </is>
      </c>
      <c r="C9" s="83" t="n">
        <v>46079</v>
      </c>
      <c r="D9" t="inlineStr">
        <is>
          <t>FDE174A8-0028</t>
        </is>
      </c>
      <c r="E9" t="inlineStr">
        <is>
          <t>OpenAI OpCo, LLC</t>
        </is>
      </c>
      <c r="F9" t="inlineStr">
        <is>
          <t>ANA BELEN FEIJOO VIDUEIRA / 34975084L</t>
        </is>
      </c>
      <c r="G9" s="84" t="n">
        <v>20.51</v>
      </c>
      <c r="H9" t="inlineStr">
        <is>
          <t>USD</t>
        </is>
      </c>
      <c r="I9" t="inlineStr">
        <is>
          <t>Fuera de periodo 2T</t>
        </is>
      </c>
      <c r="J9" t="inlineStr">
        <is>
          <t>Base EUR calculada como IVA EUR / 21% porque solo consta IVA en euros. Revisar soporte de pago/tipo cambio.</t>
        </is>
      </c>
    </row>
    <row r="10">
      <c r="A10" t="n">
        <v>9</v>
      </c>
      <c r="B10" t="inlineStr">
        <is>
          <t>009_2T 2026_CHATGPT Invoice-FDE174A8-0029.pdf</t>
        </is>
      </c>
      <c r="C10" s="83" t="n">
        <v>46107</v>
      </c>
      <c r="D10" t="inlineStr">
        <is>
          <t>FDE174A8-0029</t>
        </is>
      </c>
      <c r="E10" t="inlineStr">
        <is>
          <t>OpenAI OpCo, LLC</t>
        </is>
      </c>
      <c r="F10" t="inlineStr">
        <is>
          <t>ANA BELEN FEIJOO VIDUEIRA / 34975084L</t>
        </is>
      </c>
      <c r="G10" s="84" t="n">
        <v>20.97</v>
      </c>
      <c r="H10" t="inlineStr">
        <is>
          <t>USD</t>
        </is>
      </c>
      <c r="I10" t="inlineStr">
        <is>
          <t>Fuera de periodo 2T</t>
        </is>
      </c>
      <c r="J10" t="inlineStr">
        <is>
          <t>Base EUR calculada como IVA EUR / 21% porque solo consta IVA en euros. Revisar soporte de pago/tipo cambio.</t>
        </is>
      </c>
    </row>
    <row r="11">
      <c r="A11" t="n">
        <v>10</v>
      </c>
      <c r="B11" t="inlineStr">
        <is>
          <t>010_2T 2026_CIFRA CE261701849.pdf</t>
        </is>
      </c>
      <c r="C11" s="83" t="n">
        <v>46143</v>
      </c>
      <c r="D11" t="inlineStr">
        <is>
          <t>CE261701849</t>
        </is>
      </c>
      <c r="E11" t="inlineStr">
        <is>
          <t>C.I.F.R.A., S.L.</t>
        </is>
      </c>
      <c r="F11" t="inlineStr">
        <is>
          <t>ANA BELEN FEIJOO VIDUEIRA / 34975084L</t>
        </is>
      </c>
      <c r="G11" s="84" t="n">
        <v>642.51</v>
      </c>
      <c r="H11" t="inlineStr">
        <is>
          <t>EUR</t>
        </is>
      </c>
      <c r="I11" t="inlineStr">
        <is>
          <t>Revisado</t>
        </is>
      </c>
      <c r="J11" t="inlineStr">
        <is>
          <t>Factura nacional con IVA 21%.</t>
        </is>
      </c>
    </row>
    <row r="12">
      <c r="A12" t="n">
        <v>11</v>
      </c>
      <c r="B12" t="inlineStr">
        <is>
          <t>011_2T 2026_CIFRA CE261704792.pdf</t>
        </is>
      </c>
      <c r="C12" s="83" t="n">
        <v>46156</v>
      </c>
      <c r="D12" t="inlineStr">
        <is>
          <t>CE261704792</t>
        </is>
      </c>
      <c r="E12" t="inlineStr">
        <is>
          <t>C.I.F.R.A., S.L.</t>
        </is>
      </c>
      <c r="F12" t="inlineStr">
        <is>
          <t>ANA BELEN FEIJOO VIDUEIRA / 34975084L</t>
        </is>
      </c>
      <c r="G12" s="84" t="n">
        <v>642.51</v>
      </c>
      <c r="H12" t="inlineStr">
        <is>
          <t>EUR</t>
        </is>
      </c>
      <c r="I12" t="inlineStr">
        <is>
          <t>Revisado</t>
        </is>
      </c>
      <c r="J12" t="inlineStr">
        <is>
          <t>Factura nacional con IVA 21%.</t>
        </is>
      </c>
    </row>
    <row r="13">
      <c r="A13" t="n">
        <v>12</v>
      </c>
      <c r="B13" t="inlineStr">
        <is>
          <t>012_2T 2026_CIFRA CE261708106.pdf</t>
        </is>
      </c>
      <c r="C13" s="83" t="n">
        <v>46169</v>
      </c>
      <c r="D13" t="inlineStr">
        <is>
          <t>CE261708106</t>
        </is>
      </c>
      <c r="E13" t="inlineStr">
        <is>
          <t>C.I.F.R.A., S.L.</t>
        </is>
      </c>
      <c r="F13" t="inlineStr">
        <is>
          <t>ANA BELEN FEIJOO VIDUEIRA / 34975084L</t>
        </is>
      </c>
      <c r="G13" s="84" t="n">
        <v>642.51</v>
      </c>
      <c r="H13" t="inlineStr">
        <is>
          <t>EUR</t>
        </is>
      </c>
      <c r="I13" t="inlineStr">
        <is>
          <t>Revisado</t>
        </is>
      </c>
      <c r="J13" t="inlineStr">
        <is>
          <t>Factura nacional con IVA 21%.</t>
        </is>
      </c>
    </row>
    <row r="14">
      <c r="A14" t="n">
        <v>13</v>
      </c>
      <c r="B14" t="inlineStr">
        <is>
          <t>013_2T 2026_ES-AEU-2026-291575.pdf</t>
        </is>
      </c>
      <c r="C14" s="83" t="n">
        <v>46142</v>
      </c>
      <c r="D14" t="inlineStr">
        <is>
          <t>ES-AEU-2026-291575</t>
        </is>
      </c>
      <c r="E14" t="inlineStr">
        <is>
          <t>Amazon EU S.à r.l., Sucursal en España</t>
        </is>
      </c>
      <c r="F14" t="inlineStr">
        <is>
          <t>ANA BELEN FEIJOO VIDUEIRA / 34975084L</t>
        </is>
      </c>
      <c r="G14" s="84" t="n">
        <v>6514.32</v>
      </c>
      <c r="H14" t="inlineStr">
        <is>
          <t>EUR</t>
        </is>
      </c>
      <c r="I14" t="inlineStr">
        <is>
          <t>Revisado</t>
        </is>
      </c>
      <c r="J14" t="inlineStr">
        <is>
          <t>Factura fiscal española con IVA 21%.</t>
        </is>
      </c>
    </row>
    <row r="15">
      <c r="A15" t="n">
        <v>14</v>
      </c>
      <c r="B15" t="inlineStr">
        <is>
          <t>014_2T 2026_ES-AEU-2026-291599.pdf</t>
        </is>
      </c>
      <c r="C15" s="83" t="n">
        <v>46142</v>
      </c>
      <c r="D15" t="inlineStr">
        <is>
          <t>ES-AEU-2026-291599</t>
        </is>
      </c>
      <c r="E15" t="inlineStr">
        <is>
          <t>Amazon EU S.à r.l., Sucursal en España</t>
        </is>
      </c>
      <c r="F15" t="inlineStr">
        <is>
          <t>ANA BELEN FEIJOO VIDUEIRA / 34975084L</t>
        </is>
      </c>
      <c r="G15" s="84" t="n">
        <v>1826.62</v>
      </c>
      <c r="H15" t="inlineStr">
        <is>
          <t>EUR</t>
        </is>
      </c>
      <c r="I15" t="inlineStr">
        <is>
          <t>Revisado</t>
        </is>
      </c>
      <c r="J15" t="inlineStr">
        <is>
          <t>Factura fiscal española con IVA 21%.</t>
        </is>
      </c>
    </row>
    <row r="16">
      <c r="A16" t="n">
        <v>15</v>
      </c>
      <c r="B16" t="inlineStr">
        <is>
          <t>015_2T 2026_ES-AEU-2026-317327.pdf</t>
        </is>
      </c>
      <c r="C16" s="83" t="n">
        <v>46142</v>
      </c>
      <c r="D16" t="inlineStr">
        <is>
          <t>ES-AEU-2026-317327</t>
        </is>
      </c>
      <c r="E16" t="inlineStr">
        <is>
          <t>Amazon EU S.à r.l., Sucursal en España</t>
        </is>
      </c>
      <c r="F16" t="inlineStr">
        <is>
          <t>ANA BELEN FEIJOO VIDUEIRA / 34975084L</t>
        </is>
      </c>
      <c r="G16" s="88" t="n">
        <v>369.61</v>
      </c>
      <c r="H16" t="inlineStr">
        <is>
          <t>EUR</t>
        </is>
      </c>
      <c r="I16" t="inlineStr">
        <is>
          <t>Revisado</t>
        </is>
      </c>
      <c r="J16" t="inlineStr">
        <is>
          <t>Factura en francés, proveedor con sucursal en España e IVA 21%.</t>
        </is>
      </c>
    </row>
    <row r="17">
      <c r="A17" t="n">
        <v>16</v>
      </c>
      <c r="B17" t="inlineStr">
        <is>
          <t>016_2T 2026_ES-AEU-2026-317330.pdf</t>
        </is>
      </c>
      <c r="C17" s="83" t="n">
        <v>46142</v>
      </c>
      <c r="D17" t="inlineStr">
        <is>
          <t>ES-AEU-2026-317330</t>
        </is>
      </c>
      <c r="E17" t="inlineStr">
        <is>
          <t>Amazon EU S.à r.l., Sucursal en España</t>
        </is>
      </c>
      <c r="F17" t="inlineStr">
        <is>
          <t>ANA BELEN FEIJOO VIDUEIRA / 34975084L</t>
        </is>
      </c>
      <c r="G17" s="88" t="n">
        <v>73.02</v>
      </c>
      <c r="H17" t="inlineStr">
        <is>
          <t>EUR</t>
        </is>
      </c>
      <c r="I17" t="inlineStr">
        <is>
          <t>Revisado</t>
        </is>
      </c>
      <c r="J17" t="inlineStr">
        <is>
          <t>Factura en francés, proveedor con sucursal en España e IVA 21%.</t>
        </is>
      </c>
    </row>
    <row r="18">
      <c r="A18" t="n">
        <v>17</v>
      </c>
      <c r="B18" t="inlineStr">
        <is>
          <t>017_2T 2026_ES-AEU-2026-320887.pdf</t>
        </is>
      </c>
      <c r="C18" s="83" t="n">
        <v>46142</v>
      </c>
      <c r="D18" t="inlineStr">
        <is>
          <t>ES-AEU-2026-320887</t>
        </is>
      </c>
      <c r="E18" t="inlineStr">
        <is>
          <t>Amazon EU S.à r.l., Sucursal en España</t>
        </is>
      </c>
      <c r="F18" t="inlineStr">
        <is>
          <t>ANA BELEN FEIJOO VIDUEIRA / 34975084L</t>
        </is>
      </c>
      <c r="G18" s="88" t="n">
        <v>26.65</v>
      </c>
      <c r="H18" t="inlineStr">
        <is>
          <t>EUR</t>
        </is>
      </c>
      <c r="I18" t="inlineStr">
        <is>
          <t>Pendiente de revisión</t>
        </is>
      </c>
      <c r="J18" t="inlineStr">
        <is>
          <t>Factura Amazon al 0% con referencia a art. 69, 21.5º y 64 LIVA; revisar clasificación/casillas.</t>
        </is>
      </c>
    </row>
    <row r="19">
      <c r="A19" t="n">
        <v>18</v>
      </c>
      <c r="B19" t="inlineStr">
        <is>
          <t>018_2T 2026_ES-AEU-2026-323426.pdf</t>
        </is>
      </c>
      <c r="C19" s="83" t="n">
        <v>46142</v>
      </c>
      <c r="D19" t="inlineStr">
        <is>
          <t>ES-AEU-2026-323426</t>
        </is>
      </c>
      <c r="E19" t="inlineStr">
        <is>
          <t>Amazon EU S.à r.l., Sucursal en España</t>
        </is>
      </c>
      <c r="F19" t="inlineStr">
        <is>
          <t>ANA BELEN FEIJOO VIDUEIRA / 34975084L</t>
        </is>
      </c>
      <c r="G19" s="88" t="n">
        <v>48.33</v>
      </c>
      <c r="H19" t="inlineStr">
        <is>
          <t>EUR</t>
        </is>
      </c>
      <c r="I19" t="inlineStr">
        <is>
          <t>Revisado</t>
        </is>
      </c>
      <c r="J19" t="inlineStr">
        <is>
          <t>Factura en italiano, proveedor con sucursal en España e IVA 21%.</t>
        </is>
      </c>
    </row>
    <row r="20">
      <c r="A20" t="n">
        <v>19</v>
      </c>
      <c r="B20" t="inlineStr">
        <is>
          <t>019_2T 2026_ES-AEU-2026-323427.pdf</t>
        </is>
      </c>
      <c r="C20" s="83" t="n">
        <v>46142</v>
      </c>
      <c r="D20" t="inlineStr">
        <is>
          <t>ES-AEU-2026-323427</t>
        </is>
      </c>
      <c r="E20" t="inlineStr">
        <is>
          <t>Amazon EU S.à r.l., Sucursal en España</t>
        </is>
      </c>
      <c r="F20" t="inlineStr">
        <is>
          <t>ANA BELEN FEIJOO VIDUEIRA / 34975084L</t>
        </is>
      </c>
      <c r="G20" s="88" t="n">
        <v>13.05</v>
      </c>
      <c r="H20" t="inlineStr">
        <is>
          <t>EUR</t>
        </is>
      </c>
      <c r="I20" t="inlineStr">
        <is>
          <t>Revisado</t>
        </is>
      </c>
      <c r="J20" t="inlineStr">
        <is>
          <t>Factura en italiano, proveedor con sucursal en España e IVA 21%.</t>
        </is>
      </c>
    </row>
    <row r="21">
      <c r="A21" t="n">
        <v>20</v>
      </c>
      <c r="B21" t="inlineStr">
        <is>
          <t>020_2T 2026_ES-AEU-2026-342543.pdf</t>
        </is>
      </c>
      <c r="C21" s="83" t="n">
        <v>46142</v>
      </c>
      <c r="D21" t="inlineStr">
        <is>
          <t>ES-AEU-2026-342543</t>
        </is>
      </c>
      <c r="E21" t="inlineStr">
        <is>
          <t>Amazon EU S.à r.l., Sucursal en España</t>
        </is>
      </c>
      <c r="F21" t="inlineStr">
        <is>
          <t>ANA BELEN FEIJOO VIDUEIRA / 34975084L</t>
        </is>
      </c>
      <c r="G21" s="88" t="n">
        <v>10.04</v>
      </c>
      <c r="H21" t="inlineStr">
        <is>
          <t>EUR</t>
        </is>
      </c>
      <c r="I21" t="inlineStr">
        <is>
          <t>Revisado</t>
        </is>
      </c>
      <c r="J21" t="inlineStr">
        <is>
          <t>Factura en alemán, proveedor con sucursal en España e IVA 21%.</t>
        </is>
      </c>
    </row>
    <row r="22">
      <c r="A22" t="n">
        <v>21</v>
      </c>
      <c r="B22" t="inlineStr">
        <is>
          <t>021_2T 2026_ES-AEU-2026-391494.pdf</t>
        </is>
      </c>
      <c r="C22" s="83" t="n">
        <v>46173</v>
      </c>
      <c r="D22" t="inlineStr">
        <is>
          <t>ES-AEU-2026-391494</t>
        </is>
      </c>
      <c r="E22" t="inlineStr">
        <is>
          <t>Amazon EU S.à r.l., Sucursal en España</t>
        </is>
      </c>
      <c r="F22" t="inlineStr">
        <is>
          <t>ANA BELEN FEIJOO VIDUEIRA / 34975084L</t>
        </is>
      </c>
      <c r="G22" s="88" t="n">
        <v>7092.72</v>
      </c>
      <c r="H22" t="inlineStr">
        <is>
          <t>EUR</t>
        </is>
      </c>
      <c r="I22" t="inlineStr">
        <is>
          <t>Revisado</t>
        </is>
      </c>
      <c r="J22" t="inlineStr">
        <is>
          <t>Factura fiscal española con IVA 21%.</t>
        </is>
      </c>
    </row>
    <row r="23">
      <c r="A23" t="n">
        <v>22</v>
      </c>
      <c r="B23" t="inlineStr">
        <is>
          <t>022_2T 2026_ES-AEU-2026-391495.pdf</t>
        </is>
      </c>
      <c r="C23" s="83" t="n">
        <v>46173</v>
      </c>
      <c r="D23" t="inlineStr">
        <is>
          <t>ES-AEU-2026-391495</t>
        </is>
      </c>
      <c r="E23" t="inlineStr">
        <is>
          <t>Amazon EU S.à r.l., Sucursal en España</t>
        </is>
      </c>
      <c r="F23" t="inlineStr">
        <is>
          <t>ANA BELEN FEIJOO VIDUEIRA / 34975084L</t>
        </is>
      </c>
      <c r="G23" s="88" t="n">
        <v>2085.5</v>
      </c>
      <c r="H23" t="inlineStr">
        <is>
          <t>EUR</t>
        </is>
      </c>
      <c r="I23" t="inlineStr">
        <is>
          <t>Revisado</t>
        </is>
      </c>
      <c r="J23" t="inlineStr">
        <is>
          <t>Factura fiscal española con IVA 21%.</t>
        </is>
      </c>
    </row>
    <row r="24">
      <c r="A24" t="n">
        <v>23</v>
      </c>
      <c r="B24" t="inlineStr">
        <is>
          <t>023_2T 2026_ES-AEU-2026-394164.pdf</t>
        </is>
      </c>
      <c r="C24" s="83" t="n">
        <v>46173</v>
      </c>
      <c r="D24" t="inlineStr">
        <is>
          <t>ES-AEU-2026-394164</t>
        </is>
      </c>
      <c r="E24" t="inlineStr">
        <is>
          <t>Amazon EU S.à r.l., Sucursal en España</t>
        </is>
      </c>
      <c r="F24" t="inlineStr">
        <is>
          <t>ANA BELEN FEIJOO VIDUEIRA / 34975084L</t>
        </is>
      </c>
      <c r="G24" s="88" t="n">
        <v>653.21</v>
      </c>
      <c r="H24" t="inlineStr">
        <is>
          <t>EUR</t>
        </is>
      </c>
      <c r="I24" t="inlineStr">
        <is>
          <t>Revisado</t>
        </is>
      </c>
      <c r="J24" t="inlineStr">
        <is>
          <t>Factura en francés, proveedor con sucursal en España e IVA 21%.</t>
        </is>
      </c>
    </row>
    <row r="25">
      <c r="A25" t="n">
        <v>24</v>
      </c>
      <c r="B25" t="inlineStr">
        <is>
          <t>024_2T 2026_ES-AEU-2026-394176.pdf</t>
        </is>
      </c>
      <c r="C25" s="83" t="n">
        <v>46173</v>
      </c>
      <c r="D25" t="inlineStr">
        <is>
          <t>ES-AEU-2026-394176</t>
        </is>
      </c>
      <c r="E25" t="inlineStr">
        <is>
          <t>Amazon EU S.à r.l., Sucursal en España</t>
        </is>
      </c>
      <c r="F25" t="inlineStr">
        <is>
          <t>ANA BELEN FEIJOO VIDUEIRA / 34975084L</t>
        </is>
      </c>
      <c r="G25" s="88" t="n">
        <v>132.2</v>
      </c>
      <c r="H25" t="inlineStr">
        <is>
          <t>EUR</t>
        </is>
      </c>
      <c r="I25" t="inlineStr">
        <is>
          <t>Revisado</t>
        </is>
      </c>
      <c r="J25" t="inlineStr">
        <is>
          <t>Factura en francés, proveedor con sucursal en España e IVA 21%.</t>
        </is>
      </c>
    </row>
    <row r="26">
      <c r="A26" t="n">
        <v>25</v>
      </c>
      <c r="B26" t="inlineStr">
        <is>
          <t>025_2T 2026_ES-AEU-2026-412061.pdf</t>
        </is>
      </c>
      <c r="C26" s="83" t="n">
        <v>46173</v>
      </c>
      <c r="D26" t="inlineStr">
        <is>
          <t>ES-AEU-2026-412061</t>
        </is>
      </c>
      <c r="E26" t="inlineStr">
        <is>
          <t>Amazon EU S.à r.l., Sucursal en España</t>
        </is>
      </c>
      <c r="F26" t="inlineStr">
        <is>
          <t>ANA BELEN FEIJOO VIDUEIRA / 34975084L</t>
        </is>
      </c>
      <c r="G26" s="88" t="n">
        <v>84.40000000000001</v>
      </c>
      <c r="H26" t="inlineStr">
        <is>
          <t>EUR</t>
        </is>
      </c>
      <c r="I26" t="inlineStr">
        <is>
          <t>Revisado</t>
        </is>
      </c>
      <c r="J26" t="inlineStr">
        <is>
          <t>Factura en italiano, proveedor con sucursal en España e IVA 21%.</t>
        </is>
      </c>
    </row>
    <row r="27">
      <c r="A27" t="n">
        <v>26</v>
      </c>
      <c r="B27" t="inlineStr">
        <is>
          <t>026_2T 2026_ES-AEU-2026-412065.pdf</t>
        </is>
      </c>
      <c r="C27" s="83" t="n">
        <v>46173</v>
      </c>
      <c r="D27" t="inlineStr">
        <is>
          <t>ES-AEU-2026-412065</t>
        </is>
      </c>
      <c r="E27" t="inlineStr">
        <is>
          <t>Amazon EU S.à r.l., Sucursal en España</t>
        </is>
      </c>
      <c r="F27" t="inlineStr">
        <is>
          <t>ANA BELEN FEIJOO VIDUEIRA / 34975084L</t>
        </is>
      </c>
      <c r="G27" s="88" t="n">
        <v>19.88</v>
      </c>
      <c r="H27" t="inlineStr">
        <is>
          <t>EUR</t>
        </is>
      </c>
      <c r="I27" t="inlineStr">
        <is>
          <t>Revisado</t>
        </is>
      </c>
      <c r="J27" t="inlineStr">
        <is>
          <t>Factura en italiano, proveedor con sucursal en España e IVA 21%.</t>
        </is>
      </c>
    </row>
    <row r="28">
      <c r="A28" t="n">
        <v>27</v>
      </c>
      <c r="B28" t="inlineStr">
        <is>
          <t>027_2T 2026_ES-AEU-2026-446939.pdf</t>
        </is>
      </c>
      <c r="C28" s="83" t="n">
        <v>46173</v>
      </c>
      <c r="D28" t="inlineStr">
        <is>
          <t>ES-AEU-2026-446939</t>
        </is>
      </c>
      <c r="E28" t="inlineStr">
        <is>
          <t>Amazon EU S.à r.l., Sucursal en España</t>
        </is>
      </c>
      <c r="F28" t="inlineStr">
        <is>
          <t>ANA BELEN FEIJOO VIDUEIRA / 34975084L</t>
        </is>
      </c>
      <c r="G28" s="88" t="n">
        <v>5.22</v>
      </c>
      <c r="H28" t="inlineStr">
        <is>
          <t>EUR</t>
        </is>
      </c>
      <c r="I28" t="inlineStr">
        <is>
          <t>Revisado</t>
        </is>
      </c>
      <c r="J28" t="inlineStr">
        <is>
          <t>Factura en alemán, proveedor con sucursal en España e IVA 21%.</t>
        </is>
      </c>
    </row>
    <row r="29">
      <c r="A29" t="n">
        <v>28</v>
      </c>
      <c r="B29" t="inlineStr">
        <is>
          <t>028_2T 2026_ES-AEU-2026-463539.pdf</t>
        </is>
      </c>
      <c r="C29" s="83" t="n">
        <v>46173</v>
      </c>
      <c r="D29" t="inlineStr">
        <is>
          <t>ES-AEU-2026-463539</t>
        </is>
      </c>
      <c r="E29" t="inlineStr">
        <is>
          <t>Amazon EU S.à r.l., Sucursal en España</t>
        </is>
      </c>
      <c r="F29" t="inlineStr">
        <is>
          <t>ANA BELEN FEIJOO VIDUEIRA / 34975084L</t>
        </is>
      </c>
      <c r="G29" s="88" t="n">
        <v>4.49</v>
      </c>
      <c r="H29" t="inlineStr">
        <is>
          <t>EUR</t>
        </is>
      </c>
      <c r="I29" t="inlineStr">
        <is>
          <t>Pendiente de revisión</t>
        </is>
      </c>
      <c r="J29" t="inlineStr">
        <is>
          <t>Factura Amazon al 0% con referencia a art. 69, 21.5º y 64 LIVA; revisar clasificación/casillas.</t>
        </is>
      </c>
    </row>
    <row r="30">
      <c r="A30" t="n">
        <v>29</v>
      </c>
      <c r="B30" t="inlineStr">
        <is>
          <t>029_2T 2026_ES-CN-AEU-2026-109370.pdf</t>
        </is>
      </c>
      <c r="C30" s="83" t="n">
        <v>46173</v>
      </c>
      <c r="D30" t="inlineStr">
        <is>
          <t>ES-CN-AEU-2026-109370</t>
        </is>
      </c>
      <c r="E30" t="inlineStr">
        <is>
          <t>Amazon EU S.à r.l., Sucursal en España</t>
        </is>
      </c>
      <c r="F30" t="inlineStr">
        <is>
          <t>ANA BELEN FEIJOO VIDUEIRA / 34975084L</t>
        </is>
      </c>
      <c r="G30" s="88" t="n">
        <v>-53.79</v>
      </c>
      <c r="H30" t="inlineStr">
        <is>
          <t>EUR</t>
        </is>
      </c>
      <c r="I30" t="inlineStr">
        <is>
          <t>Revisado</t>
        </is>
      </c>
      <c r="J30" t="inlineStr">
        <is>
          <t>Nota de crédito vinculada a ES-AEU-2026-391495 y ES-AEU-2026-291599.</t>
        </is>
      </c>
    </row>
    <row r="31">
      <c r="A31" t="n">
        <v>30</v>
      </c>
      <c r="B31" t="inlineStr">
        <is>
          <t>030_2T 2026_ES-CN-AEU-2026-115465.pdf</t>
        </is>
      </c>
      <c r="C31" s="83" t="n">
        <v>46173</v>
      </c>
      <c r="D31" t="inlineStr">
        <is>
          <t>ES-CN-AEU-2026-115465</t>
        </is>
      </c>
      <c r="E31" t="inlineStr">
        <is>
          <t>Amazon EU S.à r.l., Sucursal en España</t>
        </is>
      </c>
      <c r="F31" t="inlineStr">
        <is>
          <t>ANA BELEN FEIJOO VIDUEIRA / 34975084L</t>
        </is>
      </c>
      <c r="G31" s="88" t="n">
        <v>-1.07</v>
      </c>
      <c r="H31" t="inlineStr">
        <is>
          <t>EUR</t>
        </is>
      </c>
      <c r="I31" t="inlineStr">
        <is>
          <t>Revisado</t>
        </is>
      </c>
      <c r="J31" t="inlineStr">
        <is>
          <t>Nota de crédito vinculada a ES-AEU-2026-323427.</t>
        </is>
      </c>
    </row>
    <row r="32" ht="28.5" customHeight="1" s="81">
      <c r="A32" s="50" t="n">
        <v>31</v>
      </c>
      <c r="B32" s="50" t="inlineStr">
        <is>
          <t>031_2T 2026_ES-CN-AEU-2026-119151.pdf</t>
        </is>
      </c>
      <c r="C32" s="91" t="n">
        <v>46173</v>
      </c>
      <c r="D32" s="50" t="inlineStr">
        <is>
          <t>ES-CN-AEU-2026-119151</t>
        </is>
      </c>
      <c r="E32" s="50" t="inlineStr">
        <is>
          <t>Amazon EU S.à r.l., Sucursal en España</t>
        </is>
      </c>
      <c r="F32" s="50" t="inlineStr">
        <is>
          <t>ANA BELEN FEIJOO VIDUEIRA / 34975084L</t>
        </is>
      </c>
      <c r="G32" s="92" t="n">
        <v>-3.32</v>
      </c>
      <c r="H32" s="50" t="inlineStr">
        <is>
          <t>EUR</t>
        </is>
      </c>
      <c r="I32" s="50" t="inlineStr">
        <is>
          <t>Revisado</t>
        </is>
      </c>
      <c r="J32" s="50" t="inlineStr">
        <is>
          <t>Nota de crédito vinculada a ES-AEU-2026-391494.</t>
        </is>
      </c>
    </row>
    <row r="33" ht="28.5" customHeight="1" s="81">
      <c r="A33" s="50" t="n">
        <v>32</v>
      </c>
      <c r="B33" s="50" t="inlineStr">
        <is>
          <t>032_2T 2026_ES-CN-AEU-2026-123017.pdf</t>
        </is>
      </c>
      <c r="C33" s="91" t="n">
        <v>46173</v>
      </c>
      <c r="D33" s="50" t="inlineStr">
        <is>
          <t>ES-CN-AEU-2026-123017</t>
        </is>
      </c>
      <c r="E33" s="50" t="inlineStr">
        <is>
          <t>Amazon EU S.à r.l., Sucursal en España</t>
        </is>
      </c>
      <c r="F33" s="50" t="inlineStr">
        <is>
          <t>ANA BELEN FEIJOO VIDUEIRA / 34975084L</t>
        </is>
      </c>
      <c r="G33" s="92" t="n">
        <v>-6.86</v>
      </c>
      <c r="H33" s="50" t="inlineStr">
        <is>
          <t>EUR</t>
        </is>
      </c>
      <c r="I33" s="50" t="inlineStr">
        <is>
          <t>Revisado</t>
        </is>
      </c>
      <c r="J33" s="50" t="inlineStr">
        <is>
          <t>Nota de crédito vinculada a ES-AEU-2026-394176.</t>
        </is>
      </c>
    </row>
    <row r="34" ht="28.5" customHeight="1" s="81">
      <c r="A34" s="50" t="n">
        <v>33</v>
      </c>
      <c r="B34" s="50" t="inlineStr">
        <is>
          <t>033_2T 2026_ES-CN-AEU-2026-126023.pdf</t>
        </is>
      </c>
      <c r="C34" s="91" t="n">
        <v>46173</v>
      </c>
      <c r="D34" s="50" t="inlineStr">
        <is>
          <t>ES-CN-AEU-2026-126023</t>
        </is>
      </c>
      <c r="E34" s="50" t="inlineStr">
        <is>
          <t>Amazon EU S.à r.l., Sucursal en España</t>
        </is>
      </c>
      <c r="F34" s="50" t="inlineStr">
        <is>
          <t>ANA BELEN FEIJOO VIDUEIRA / 34975084L</t>
        </is>
      </c>
      <c r="G34" s="92" t="n">
        <v>-4.11</v>
      </c>
      <c r="H34" s="50" t="inlineStr">
        <is>
          <t>EUR</t>
        </is>
      </c>
      <c r="I34" s="50" t="inlineStr">
        <is>
          <t>Revisado</t>
        </is>
      </c>
      <c r="J34" s="50" t="inlineStr">
        <is>
          <t>Nota de crédito vinculada a ES-AEU-2026-394164.</t>
        </is>
      </c>
    </row>
    <row r="35" ht="28.5" customHeight="1" s="81">
      <c r="A35" s="50" t="n">
        <v>34</v>
      </c>
      <c r="B35" s="50" t="inlineStr">
        <is>
          <t>034_2T 2026_ES-CN-AEU-2026-83983.pdf</t>
        </is>
      </c>
      <c r="C35" s="91" t="n">
        <v>46142</v>
      </c>
      <c r="D35" s="50" t="inlineStr">
        <is>
          <t>ES-CN-AEU-2026-83983</t>
        </is>
      </c>
      <c r="E35" s="50" t="inlineStr">
        <is>
          <t>Amazon EU S.à r.l., Sucursal en España</t>
        </is>
      </c>
      <c r="F35" s="50" t="inlineStr">
        <is>
          <t>ANA BELEN FEIJOO VIDUEIRA / 34975084L</t>
        </is>
      </c>
      <c r="G35" s="92" t="n">
        <v>-54.56</v>
      </c>
      <c r="H35" s="50" t="inlineStr">
        <is>
          <t>EUR</t>
        </is>
      </c>
      <c r="I35" s="50" t="inlineStr">
        <is>
          <t>Revisado</t>
        </is>
      </c>
      <c r="J35" s="50" t="inlineStr">
        <is>
          <t>Nota de crédito vinculada a ES-AEU-2026-195473 y ES-AEU-2026-291599.</t>
        </is>
      </c>
    </row>
    <row r="36" ht="28.5" customHeight="1" s="81">
      <c r="A36" s="50" t="n">
        <v>35</v>
      </c>
      <c r="B36" s="50" t="inlineStr">
        <is>
          <t>035_2T 2026_ES-CN-AEU-2026-91599.pdf</t>
        </is>
      </c>
      <c r="C36" s="91" t="n">
        <v>46142</v>
      </c>
      <c r="D36" s="50" t="inlineStr">
        <is>
          <t>ES-CN-AEU-2026-91599</t>
        </is>
      </c>
      <c r="E36" s="50" t="inlineStr">
        <is>
          <t>Amazon EU S.à r.l., Sucursal en España</t>
        </is>
      </c>
      <c r="F36" s="50" t="inlineStr">
        <is>
          <t>ANA BELEN FEIJOO VIDUEIRA / 34975084L</t>
        </is>
      </c>
      <c r="G36" s="92" t="n">
        <v>-11.81</v>
      </c>
      <c r="H36" s="50" t="inlineStr">
        <is>
          <t>EUR</t>
        </is>
      </c>
      <c r="I36" s="50" t="inlineStr">
        <is>
          <t>Revisado</t>
        </is>
      </c>
      <c r="J36" s="50" t="inlineStr">
        <is>
          <t>Nota de crédito vinculada a ES-AEU-2026-291575 y ES-AEU-2026-195468.</t>
        </is>
      </c>
    </row>
    <row r="37" ht="28.5" customHeight="1" s="81">
      <c r="A37" s="50" t="n">
        <v>36</v>
      </c>
      <c r="B37" s="50" t="inlineStr">
        <is>
          <t>036_2T 2026_ES-CN-AEU-2026-92640.pdf</t>
        </is>
      </c>
      <c r="C37" s="91" t="n">
        <v>46142</v>
      </c>
      <c r="D37" s="50" t="inlineStr">
        <is>
          <t>ES-CN-AEU-2026-92640</t>
        </is>
      </c>
      <c r="E37" s="50" t="inlineStr">
        <is>
          <t>Amazon EU S.à r.l., Sucursal en España</t>
        </is>
      </c>
      <c r="F37" s="50" t="inlineStr">
        <is>
          <t>ANA BELEN FEIJOO VIDUEIRA / 34975084L</t>
        </is>
      </c>
      <c r="G37" s="92" t="n">
        <v>-3.34</v>
      </c>
      <c r="H37" s="50" t="inlineStr">
        <is>
          <t>EUR</t>
        </is>
      </c>
      <c r="I37" s="50" t="inlineStr">
        <is>
          <t>Revisado</t>
        </is>
      </c>
      <c r="J37" s="50" t="inlineStr">
        <is>
          <t>Nota de crédito vinculada a ES-AEU-2026-214318.</t>
        </is>
      </c>
    </row>
    <row r="38" ht="28.5" customHeight="1" s="81">
      <c r="A38" s="50" t="n">
        <v>37</v>
      </c>
      <c r="B38" s="50" t="inlineStr">
        <is>
          <t>037_2T 2026_EUROGROW #CU2024252668.pdf</t>
        </is>
      </c>
      <c r="C38" s="91" t="n">
        <v>46145</v>
      </c>
      <c r="D38" s="50" t="inlineStr">
        <is>
          <t>CU2024252668</t>
        </is>
      </c>
      <c r="E38" s="50" t="inlineStr">
        <is>
          <t>COMPRAS SEGURAS 2015 S.L.U.</t>
        </is>
      </c>
      <c r="F38" s="50" t="inlineStr">
        <is>
          <t>ANA BELEN FEIJOO VIDUEIRA / 34975084L</t>
        </is>
      </c>
      <c r="G38" s="92" t="n">
        <v>51.11</v>
      </c>
      <c r="H38" s="50" t="inlineStr">
        <is>
          <t>EUR</t>
        </is>
      </c>
      <c r="I38" s="50" t="inlineStr">
        <is>
          <t>Pendiente de revisión</t>
        </is>
      </c>
      <c r="J38" s="50" t="inlineStr">
        <is>
          <t>Revisar afectación a actividad y naturaleza del producto.</t>
        </is>
      </c>
    </row>
    <row r="39" ht="28.5" customHeight="1" s="81">
      <c r="A39" s="50" t="n">
        <v>38</v>
      </c>
      <c r="B39" s="50" t="inlineStr">
        <is>
          <t>038_2T 2026_EUROGROW #CU2024261474.pdf</t>
        </is>
      </c>
      <c r="C39" s="91" t="n">
        <v>46168</v>
      </c>
      <c r="D39" s="50" t="inlineStr">
        <is>
          <t>CU2024261474</t>
        </is>
      </c>
      <c r="E39" s="50" t="inlineStr">
        <is>
          <t>COMPRAS SEGURAS 2015 S.L.U.</t>
        </is>
      </c>
      <c r="F39" s="50" t="inlineStr">
        <is>
          <t>ANA BELEN FEIJOO VIDUEIRA / 34975084L</t>
        </is>
      </c>
      <c r="G39" s="92" t="n">
        <v>25.55</v>
      </c>
      <c r="H39" s="50" t="inlineStr">
        <is>
          <t>EUR</t>
        </is>
      </c>
      <c r="I39" s="50" t="inlineStr">
        <is>
          <t>Pendiente de revisión</t>
        </is>
      </c>
      <c r="J39" s="50" t="inlineStr">
        <is>
          <t>Revisar afectación a actividad y naturaleza del producto.</t>
        </is>
      </c>
    </row>
    <row r="40" ht="28.5" customHeight="1" s="81">
      <c r="A40" s="50" t="n">
        <v>39</v>
      </c>
      <c r="B40" s="50" t="inlineStr">
        <is>
          <t>039_2T 2026_FINETWORK Factura_Febrero 2026.pdf</t>
        </is>
      </c>
      <c r="C40" s="91" t="n">
        <v>46082</v>
      </c>
      <c r="D40" s="50" t="inlineStr">
        <is>
          <t>CNP2600738822</t>
        </is>
      </c>
      <c r="E40" s="50" t="inlineStr">
        <is>
          <t>WEWI MOBILE S.L. - Finetwork</t>
        </is>
      </c>
      <c r="F40" s="50" t="inlineStr">
        <is>
          <t>ANA BELEN FEIJOO VIDUEIRA / 34975084L</t>
        </is>
      </c>
      <c r="G40" s="92" t="n">
        <v>42.7</v>
      </c>
      <c r="H40" s="50" t="inlineStr">
        <is>
          <t>EUR</t>
        </is>
      </c>
      <c r="I40" s="50" t="inlineStr">
        <is>
          <t>Fuera de periodo 2T</t>
        </is>
      </c>
      <c r="J40" s="50" t="inlineStr">
        <is>
          <t>Factura emitida 01/03/2026 y periodo febrero; no incluir en 2T salvo criterio distinto.</t>
        </is>
      </c>
    </row>
    <row r="41" ht="28.5" customHeight="1" s="81">
      <c r="A41" s="50" t="n">
        <v>40</v>
      </c>
      <c r="B41" s="50" t="inlineStr">
        <is>
          <t>040_2T 2026_FINETWORK Factura_Marzo 2026.pdf</t>
        </is>
      </c>
      <c r="C41" s="91" t="n">
        <v>46113</v>
      </c>
      <c r="D41" s="50" t="inlineStr">
        <is>
          <t>CNP2601150107</t>
        </is>
      </c>
      <c r="E41" s="50" t="inlineStr">
        <is>
          <t>WEWI MOBILE S.L. - Finetwork</t>
        </is>
      </c>
      <c r="F41" s="50" t="inlineStr">
        <is>
          <t>ANA BELEN FEIJOO VIDUEIRA / 34975084L</t>
        </is>
      </c>
      <c r="G41" s="92" t="n">
        <v>42.7</v>
      </c>
      <c r="H41" s="50" t="inlineStr">
        <is>
          <t>EUR</t>
        </is>
      </c>
      <c r="I41" s="50" t="inlineStr">
        <is>
          <t>Pendiente de revisión</t>
        </is>
      </c>
      <c r="J41" s="50" t="inlineStr">
        <is>
          <t>Factura emitida 01/04/2026 por servicios de marzo; revisar devengo y afectación profesional.</t>
        </is>
      </c>
    </row>
    <row r="42" ht="28.5" customHeight="1" s="81">
      <c r="A42" s="50" t="n">
        <v>41</v>
      </c>
      <c r="B42" s="50" t="inlineStr">
        <is>
          <t>041_2T 2026_FRANCISCO FRA PORTES DE COMPRA SIRO.pdf</t>
        </is>
      </c>
      <c r="C42" s="91" t="n">
        <v>46154</v>
      </c>
      <c r="D42" s="50" t="inlineStr">
        <is>
          <t>A/062492</t>
        </is>
      </c>
      <c r="E42" s="50" t="inlineStr">
        <is>
          <t>JORGE RAMOS FIGUEIRAS</t>
        </is>
      </c>
      <c r="F42" s="50" t="inlineStr">
        <is>
          <t>ANA BELEN FEIJOO VIDUEIRA / 34975084L</t>
        </is>
      </c>
      <c r="G42" s="92" t="n">
        <v>86.31999999999999</v>
      </c>
      <c r="H42" s="50" t="inlineStr">
        <is>
          <t>EUR</t>
        </is>
      </c>
      <c r="I42" s="50" t="inlineStr">
        <is>
          <t>Revisado</t>
        </is>
      </c>
      <c r="J42" s="50" t="inlineStr">
        <is>
          <t>Factura nacional de transporte/portes con IVA 21%.</t>
        </is>
      </c>
    </row>
    <row r="43" ht="28.5" customHeight="1" s="81">
      <c r="A43" s="50" t="n">
        <v>42</v>
      </c>
      <c r="B43" s="50" t="inlineStr">
        <is>
          <t>042_2T 2026_IBERDROLA 073014737020260327164221012837.pdf</t>
        </is>
      </c>
      <c r="C43" s="91" t="n">
        <v>46108</v>
      </c>
      <c r="D43" s="50" t="inlineStr">
        <is>
          <t>21260327010178060</t>
        </is>
      </c>
      <c r="E43" s="50" t="inlineStr">
        <is>
          <t>IBERDROLA CLIENTES, S.A.U.</t>
        </is>
      </c>
      <c r="F43" s="50" t="inlineStr">
        <is>
          <t>ANA BELEN FEIJOO VIDUEIRA / 34975084L</t>
        </is>
      </c>
      <c r="G43" s="92" t="n">
        <v>49.73</v>
      </c>
      <c r="H43" s="50" t="inlineStr">
        <is>
          <t>EUR</t>
        </is>
      </c>
      <c r="I43" s="50" t="inlineStr">
        <is>
          <t>Fuera de periodo 2T</t>
        </is>
      </c>
      <c r="J43" s="50" t="inlineStr">
        <is>
          <t>Factura emitida 27/03/2026; aunque cobro previsto 04/04, se deja fuera de 2T salvo criterio de caja. Revisar afectación vivienda/actividad.</t>
        </is>
      </c>
    </row>
    <row r="44" ht="28.5" customHeight="1" s="81">
      <c r="A44" s="50" t="n">
        <v>43</v>
      </c>
      <c r="B44" s="50" t="inlineStr">
        <is>
          <t>043_2T 2026_IBERDROLA 730147370_2026-04-30-16.43.22.012362.pdf</t>
        </is>
      </c>
      <c r="C44" s="91" t="n">
        <v>46142</v>
      </c>
      <c r="D44" s="50" t="inlineStr">
        <is>
          <t>21260430010173606</t>
        </is>
      </c>
      <c r="E44" s="50" t="inlineStr">
        <is>
          <t>IBERDROLA CLIENTES, S.A.U.</t>
        </is>
      </c>
      <c r="F44" s="50" t="inlineStr">
        <is>
          <t>ANA BELEN FEIJOO VIDUEIRA / 34975084L</t>
        </is>
      </c>
      <c r="G44" s="92" t="n">
        <v>55.02</v>
      </c>
      <c r="H44" s="50" t="inlineStr">
        <is>
          <t>EUR</t>
        </is>
      </c>
      <c r="I44" s="50" t="inlineStr">
        <is>
          <t>Pendiente de revisión</t>
        </is>
      </c>
      <c r="J44" s="50" t="inlineStr">
        <is>
          <t>IVA reducido 10%. Revisar porcentaje deducible por suministro de vivienda/actividad.</t>
        </is>
      </c>
    </row>
    <row r="45" ht="28.5" customHeight="1" s="81">
      <c r="A45" s="50" t="n">
        <v>44</v>
      </c>
      <c r="B45" s="50" t="inlineStr">
        <is>
          <t>044_2T 2026_IBERDROLA 730147370_2026-05-29-16.43.23.004307.pdf</t>
        </is>
      </c>
      <c r="C45" s="91" t="n">
        <v>46171</v>
      </c>
      <c r="D45" s="50" t="inlineStr">
        <is>
          <t>21260529010183856</t>
        </is>
      </c>
      <c r="E45" s="50" t="inlineStr">
        <is>
          <t>IBERDROLA CLIENTES, S.A.U.</t>
        </is>
      </c>
      <c r="F45" s="50" t="inlineStr">
        <is>
          <t>ANA BELEN FEIJOO VIDUEIRA / 34975084L</t>
        </is>
      </c>
      <c r="G45" s="92" t="n">
        <v>51.96</v>
      </c>
      <c r="H45" s="50" t="inlineStr">
        <is>
          <t>EUR</t>
        </is>
      </c>
      <c r="I45" s="50" t="inlineStr">
        <is>
          <t>Pendiente de revisión</t>
        </is>
      </c>
      <c r="J45" s="50" t="inlineStr">
        <is>
          <t>IVA reducido 10%. Revisar porcentaje deducible por suministro de vivienda/actividad.</t>
        </is>
      </c>
    </row>
    <row r="46">
      <c r="A46" t="n">
        <v>45</v>
      </c>
      <c r="B46" t="inlineStr">
        <is>
          <t>046_2T 2026_INVOICE-535263MUPA26.pdf</t>
        </is>
      </c>
      <c r="C46" s="83" t="n">
        <v>46143</v>
      </c>
      <c r="D46" t="inlineStr">
        <is>
          <t>535263MUPA26</t>
        </is>
      </c>
      <c r="E46" t="inlineStr">
        <is>
          <t>Amazon Online Spain, S.L.U.</t>
        </is>
      </c>
      <c r="F46" t="inlineStr">
        <is>
          <t>ANA BELEN FEIJOO VIDUEIRA / 34975084L</t>
        </is>
      </c>
      <c r="G46" s="90" t="n">
        <v>647.05</v>
      </c>
      <c r="H46" t="inlineStr">
        <is>
          <t>EUR</t>
        </is>
      </c>
      <c r="I46" t="inlineStr">
        <is>
          <t>Revisado</t>
        </is>
      </c>
      <c r="J46" s="50" t="inlineStr">
        <is>
          <t>Factura Amazon Ads España con IVA 21%. Incluye campaign charges, regulatory advertising fees y ajuste de redondeo.</t>
        </is>
      </c>
    </row>
    <row r="47">
      <c r="A47" t="n">
        <v>46</v>
      </c>
      <c r="B47" t="inlineStr">
        <is>
          <t>047_2T 2026_INVOICE-657429MUPA26.pdf</t>
        </is>
      </c>
      <c r="C47" s="83" t="n">
        <v>46170</v>
      </c>
      <c r="D47" t="inlineStr">
        <is>
          <t>657429MUPA26</t>
        </is>
      </c>
      <c r="E47" t="inlineStr">
        <is>
          <t>Amazon Online Spain, S.L.U.</t>
        </is>
      </c>
      <c r="F47" t="inlineStr">
        <is>
          <t>ANA BELEN FEIJOO VIDUEIRA / 34975084L</t>
        </is>
      </c>
      <c r="G47" s="90" t="n">
        <v>605.5700000000001</v>
      </c>
      <c r="H47" t="inlineStr">
        <is>
          <t>EUR</t>
        </is>
      </c>
      <c r="I47" t="inlineStr">
        <is>
          <t>Revisado</t>
        </is>
      </c>
      <c r="J47" s="50" t="inlineStr">
        <is>
          <t>Factura Amazon Ads España con IVA 21%.</t>
        </is>
      </c>
    </row>
    <row r="48">
      <c r="A48" t="n">
        <v>47</v>
      </c>
      <c r="B48" t="inlineStr">
        <is>
          <t>048_2T 2026_INVOICE-726190MUPA26.pdf</t>
        </is>
      </c>
      <c r="C48" s="83" t="n">
        <v>46175</v>
      </c>
      <c r="D48" t="inlineStr">
        <is>
          <t>726190MUPA26</t>
        </is>
      </c>
      <c r="E48" t="inlineStr">
        <is>
          <t>Amazon Online Spain, S.L.U.</t>
        </is>
      </c>
      <c r="F48" t="inlineStr">
        <is>
          <t>ANA BELEN FEIJOO VIDUEIRA / 34975084L</t>
        </is>
      </c>
      <c r="G48" s="90" t="n">
        <v>115.34</v>
      </c>
      <c r="H48" t="inlineStr">
        <is>
          <t>EUR</t>
        </is>
      </c>
      <c r="I48" t="inlineStr">
        <is>
          <t>Revisado</t>
        </is>
      </c>
      <c r="J48" s="50" t="inlineStr">
        <is>
          <t>Factura Amazon Ads España con IVA 21%.</t>
        </is>
      </c>
    </row>
    <row r="49">
      <c r="A49" t="n">
        <v>48</v>
      </c>
      <c r="B49" t="inlineStr">
        <is>
          <t>049_2T 2026_INVOICE-729324MTPA26.pdf</t>
        </is>
      </c>
      <c r="C49" s="83" t="n">
        <v>46175</v>
      </c>
      <c r="D49" t="inlineStr">
        <is>
          <t>729324MTPA26</t>
        </is>
      </c>
      <c r="E49" t="inlineStr">
        <is>
          <t>Amazon Online Italy S.R.L.</t>
        </is>
      </c>
      <c r="F49" t="inlineStr">
        <is>
          <t>ANA BELEN FEIJOO VIDUEIRA / 34975084L</t>
        </is>
      </c>
      <c r="G49" s="90" t="n">
        <v>2.51</v>
      </c>
      <c r="H49" t="inlineStr">
        <is>
          <t>EUR</t>
        </is>
      </c>
      <c r="I49" t="inlineStr">
        <is>
          <t>Pendiente de revisión</t>
        </is>
      </c>
      <c r="J49" s="50" t="inlineStr">
        <is>
          <t>Factura 0% reverse charge art. 44 y 196 Directiva IVA UE. Autorrepercutir/deducir si procede.</t>
        </is>
      </c>
    </row>
    <row r="50">
      <c r="A50" t="n">
        <v>49</v>
      </c>
      <c r="B50" t="inlineStr">
        <is>
          <t>050_2T 2026_INVOICE-765354G5PA26.pdf</t>
        </is>
      </c>
      <c r="C50" s="83" t="n">
        <v>46144</v>
      </c>
      <c r="D50" t="inlineStr">
        <is>
          <t>765354G5PA26</t>
        </is>
      </c>
      <c r="E50" t="inlineStr">
        <is>
          <t>Amazon Online France SAS</t>
        </is>
      </c>
      <c r="F50" t="inlineStr">
        <is>
          <t>ANA BELEN FEIJOO VIDUEIRA / 34975084L</t>
        </is>
      </c>
      <c r="G50" s="90" t="n">
        <v>8.57</v>
      </c>
      <c r="H50" t="inlineStr">
        <is>
          <t>EUR</t>
        </is>
      </c>
      <c r="I50" t="inlineStr">
        <is>
          <t>Pendiente de revisión</t>
        </is>
      </c>
      <c r="J50" s="50" t="inlineStr">
        <is>
          <t>Factura 0% reverse charge art. 44 y 196 Directiva IVA UE. Autorrepercutir/deducir si procede.</t>
        </is>
      </c>
    </row>
    <row r="51">
      <c r="A51" t="n">
        <v>50</v>
      </c>
      <c r="B51" t="inlineStr">
        <is>
          <t>051_2T 2026_INVOICE-963144G5PA26.pdf</t>
        </is>
      </c>
      <c r="C51" s="83" t="n">
        <v>46175</v>
      </c>
      <c r="D51" t="inlineStr">
        <is>
          <t>963144G5PA26</t>
        </is>
      </c>
      <c r="E51" t="inlineStr">
        <is>
          <t>Amazon Online France SAS</t>
        </is>
      </c>
      <c r="F51" t="inlineStr">
        <is>
          <t>ANA BELEN FEIJOO VIDUEIRA / 34975084L</t>
        </is>
      </c>
      <c r="G51" s="90" t="n">
        <v>30.25</v>
      </c>
      <c r="H51" t="inlineStr">
        <is>
          <t>EUR</t>
        </is>
      </c>
      <c r="I51" t="inlineStr">
        <is>
          <t>Pendiente de revisión</t>
        </is>
      </c>
      <c r="J51" s="50" t="inlineStr">
        <is>
          <t>Factura 0% reverse charge art. 44 y 196 Directiva IVA UE. Autorrepercutir/deducir si procede.</t>
        </is>
      </c>
    </row>
    <row r="52">
      <c r="A52" t="n">
        <v>51</v>
      </c>
      <c r="B52" t="inlineStr">
        <is>
          <t>052_2T 2026_IONOS factura 2026-04-26 - FA_202786190904.pdf</t>
        </is>
      </c>
      <c r="C52" s="83" t="n">
        <v>46138</v>
      </c>
      <c r="D52" t="inlineStr">
        <is>
          <t>202786190904</t>
        </is>
      </c>
      <c r="E52" t="inlineStr">
        <is>
          <t>IONOS Cloud S.L.U.</t>
        </is>
      </c>
      <c r="F52" t="inlineStr">
        <is>
          <t>ANA BELEN FEIJOO VIDUEIRA / 34975084L</t>
        </is>
      </c>
      <c r="G52" s="90" t="n">
        <v>10.29</v>
      </c>
      <c r="H52" t="inlineStr">
        <is>
          <t>EUR</t>
        </is>
      </c>
      <c r="I52" t="inlineStr">
        <is>
          <t>Revisado</t>
        </is>
      </c>
      <c r="J52" s="50" t="inlineStr">
        <is>
          <t>Servicios digitales/hosting con IVA 21%.</t>
        </is>
      </c>
    </row>
    <row r="53">
      <c r="A53" t="n">
        <v>52</v>
      </c>
      <c r="B53" t="inlineStr">
        <is>
          <t>053_2T 2026_IONOS factura 2026-05-26 - FA_202786448816.pdf</t>
        </is>
      </c>
      <c r="C53" s="83" t="n">
        <v>46168</v>
      </c>
      <c r="D53" t="inlineStr">
        <is>
          <t>202786448816</t>
        </is>
      </c>
      <c r="E53" t="inlineStr">
        <is>
          <t>IONOS Cloud S.L.U.</t>
        </is>
      </c>
      <c r="F53" t="inlineStr">
        <is>
          <t>ANA BELEN FEIJOO VIDUEIRA / 34975084L</t>
        </is>
      </c>
      <c r="G53" s="90" t="n">
        <v>10.29</v>
      </c>
      <c r="H53" t="inlineStr">
        <is>
          <t>EUR</t>
        </is>
      </c>
      <c r="I53" t="inlineStr">
        <is>
          <t>Revisado</t>
        </is>
      </c>
      <c r="J53" s="50" t="inlineStr">
        <is>
          <t>Servicios digitales/hosting con IVA 21%.</t>
        </is>
      </c>
    </row>
    <row r="54">
      <c r="A54" t="n">
        <v>53</v>
      </c>
      <c r="B54" t="inlineStr">
        <is>
          <t>056_2T 2026_NAVAPACK #TI669004737.pdf</t>
        </is>
      </c>
      <c r="C54" s="83" t="n">
        <v>46167</v>
      </c>
      <c r="D54" t="inlineStr">
        <is>
          <t>#TI669004737</t>
        </is>
      </c>
      <c r="E54" t="inlineStr">
        <is>
          <t>Navaprint Gráficas, S.L. / Navapack</t>
        </is>
      </c>
      <c r="F54" t="inlineStr">
        <is>
          <t>ANA BELEN FEIJOO VIDUEIRA / 34975084L</t>
        </is>
      </c>
      <c r="G54" s="90" t="n">
        <v>50.22</v>
      </c>
      <c r="H54" t="inlineStr">
        <is>
          <t>EUR</t>
        </is>
      </c>
      <c r="I54" t="inlineStr">
        <is>
          <t>Revisado</t>
        </is>
      </c>
      <c r="J54" s="50" t="inlineStr">
        <is>
          <t>Factura Navapack con productos y transporte al 21%.</t>
        </is>
      </c>
    </row>
    <row r="55">
      <c r="A55" t="n">
        <v>54</v>
      </c>
      <c r="B55" t="inlineStr">
        <is>
          <t>057_2T 2026_NAVAPACK TI669004718.pdf</t>
        </is>
      </c>
      <c r="C55" s="83" t="n">
        <v>46156</v>
      </c>
      <c r="D55" t="inlineStr">
        <is>
          <t>#TI669004718</t>
        </is>
      </c>
      <c r="E55" t="inlineStr">
        <is>
          <t>Navaprint Gráficas, S.L. / Navapack</t>
        </is>
      </c>
      <c r="F55" t="inlineStr">
        <is>
          <t>ANA BELEN FEIJOO VIDUEIRA / 34975084L</t>
        </is>
      </c>
      <c r="G55" s="90" t="n">
        <v>124.03</v>
      </c>
      <c r="H55" t="inlineStr">
        <is>
          <t>EUR</t>
        </is>
      </c>
      <c r="I55" t="inlineStr">
        <is>
          <t>Revisado</t>
        </is>
      </c>
      <c r="J55" s="50" t="inlineStr">
        <is>
          <t>Factura Navapack con IVA 21%.</t>
        </is>
      </c>
    </row>
    <row r="56">
      <c r="A56" t="n">
        <v>55</v>
      </c>
      <c r="B56" t="inlineStr">
        <is>
          <t>058_2T 2026_PLASTICFORTE-FRA ANA BELEN FEIJOO.pdf</t>
        </is>
      </c>
      <c r="C56" s="83" t="n">
        <v>46146</v>
      </c>
      <c r="D56" t="inlineStr">
        <is>
          <t>26209102</t>
        </is>
      </c>
      <c r="E56" t="inlineStr">
        <is>
          <t>ALBERO FORTE COMPOSITE, S.L.U. / PlasticForte</t>
        </is>
      </c>
      <c r="F56" t="inlineStr">
        <is>
          <t>ANA BELEN FEIJOO VIDUEIRA / 34975084L</t>
        </is>
      </c>
      <c r="G56" s="90" t="n">
        <v>606.3200000000001</v>
      </c>
      <c r="H56" t="inlineStr">
        <is>
          <t>EUR</t>
        </is>
      </c>
      <c r="I56" t="inlineStr">
        <is>
          <t>Revisado</t>
        </is>
      </c>
      <c r="J56" s="50" t="inlineStr">
        <is>
          <t>Factura de mercancía al 21%. Incluye aportación SCRAP informativa.</t>
        </is>
      </c>
    </row>
    <row r="57">
      <c r="A57" t="n">
        <v>56</v>
      </c>
      <c r="B57" t="inlineStr">
        <is>
          <t>059_2T 2026_PROJAR Factura venta FN26-04152.pdf</t>
        </is>
      </c>
      <c r="C57" s="83" t="n">
        <v>46142</v>
      </c>
      <c r="D57" t="inlineStr">
        <is>
          <t>FN26-04152</t>
        </is>
      </c>
      <c r="E57" t="inlineStr">
        <is>
          <t>COMERCIAL PROJAR S.A.</t>
        </is>
      </c>
      <c r="F57" t="inlineStr">
        <is>
          <t>ANA BELEN FEIJOO VIDUEIRA / 34975084L</t>
        </is>
      </c>
      <c r="G57" s="90" t="n">
        <v>324.42</v>
      </c>
      <c r="H57" t="inlineStr">
        <is>
          <t>EUR</t>
        </is>
      </c>
      <c r="I57" t="inlineStr">
        <is>
          <t>Revisado</t>
        </is>
      </c>
      <c r="J57" s="50" t="inlineStr">
        <is>
          <t>Base 233,33 € al 10% (IVA 23,33 €) y base 56,00 € al 21% (IVA 11,76 €).</t>
        </is>
      </c>
    </row>
    <row r="58">
      <c r="A58" t="n">
        <v>57</v>
      </c>
      <c r="B58" t="inlineStr">
        <is>
          <t>060_2T 2026_RICARDO TERAN WB0000001272 ANA BELEN FEIJOO VIDUEIRA.PDF</t>
        </is>
      </c>
      <c r="C58" s="83" t="n">
        <v>46133</v>
      </c>
      <c r="D58" t="inlineStr">
        <is>
          <t>WB/1272</t>
        </is>
      </c>
      <c r="E58" t="inlineStr">
        <is>
          <t>RICARDO TERÁN S.L.</t>
        </is>
      </c>
      <c r="F58" t="inlineStr">
        <is>
          <t>ANA BELEN FEIJOO VIDUEIRA / 34975084L</t>
        </is>
      </c>
      <c r="G58" s="90" t="n">
        <v>140.39</v>
      </c>
      <c r="H58" t="inlineStr">
        <is>
          <t>EUR</t>
        </is>
      </c>
      <c r="I58" t="inlineStr">
        <is>
          <t>Revisado</t>
        </is>
      </c>
      <c r="J58" s="50" t="inlineStr">
        <is>
          <t>Base 107,27 € al 10% (IVA 10,73 €) y base 18,50 € al 21% (IVA 3,89 €).</t>
        </is>
      </c>
    </row>
    <row r="59">
      <c r="A59" t="n">
        <v>58</v>
      </c>
      <c r="B59" t="inlineStr">
        <is>
          <t>061_2T 2026_RICARDO TERAN WB0000001293 ANA BELEN FEIJOO VIDUEIRA.PDF</t>
        </is>
      </c>
      <c r="C59" s="83" t="n">
        <v>46148</v>
      </c>
      <c r="D59" t="inlineStr">
        <is>
          <t>WB/1293</t>
        </is>
      </c>
      <c r="E59" t="inlineStr">
        <is>
          <t>RICARDO TERÁN S.L.</t>
        </is>
      </c>
      <c r="F59" t="inlineStr">
        <is>
          <t>ANA BELEN FEIJOO VIDUEIRA / 34975084L</t>
        </is>
      </c>
      <c r="G59" s="90" t="n">
        <v>46.93</v>
      </c>
      <c r="H59" t="inlineStr">
        <is>
          <t>EUR</t>
        </is>
      </c>
      <c r="I59" t="inlineStr">
        <is>
          <t>Revisado</t>
        </is>
      </c>
      <c r="J59" s="50" t="inlineStr">
        <is>
          <t>Base 37,27 € al 10% (IVA 3,73 €) y base 4,90 € al 21% (IVA 1,03 €).</t>
        </is>
      </c>
    </row>
    <row r="60">
      <c r="A60" t="n">
        <v>59</v>
      </c>
      <c r="B60" t="inlineStr">
        <is>
          <t>062_2T 2026_Seguro COche-b7e9a011-8f89-4a2f-bc68-efce6fb25377.pdf</t>
        </is>
      </c>
      <c r="C60" s="83" t="n">
        <v>46120</v>
      </c>
      <c r="D60" t="inlineStr">
        <is>
          <t>Adeudo seguro 08/04/2026</t>
        </is>
      </c>
      <c r="E60" t="inlineStr">
        <is>
          <t>Mutua Madrileña Automovilista</t>
        </is>
      </c>
      <c r="F60" t="inlineStr">
        <is>
          <t>ANA BELEN FEIJOO VIDUEIRA / 34975084L</t>
        </is>
      </c>
      <c r="G60" s="90" t="n">
        <v>103.24</v>
      </c>
      <c r="H60" t="inlineStr">
        <is>
          <t>EUR</t>
        </is>
      </c>
      <c r="I60" t="inlineStr">
        <is>
          <t>Pendiente de revisión</t>
        </is>
      </c>
      <c r="J60" s="50" t="inlineStr">
        <is>
          <t>Justificante bancario de seguro. Revisar afectación del vehículo a la actividad y deducibilidad del gasto.</t>
        </is>
      </c>
    </row>
    <row r="61">
      <c r="A61" t="n">
        <v>60</v>
      </c>
      <c r="B61" t="inlineStr">
        <is>
          <t>063_2T 2026_SIRO FAB260556.pdf</t>
        </is>
      </c>
      <c r="C61" s="83" t="n">
        <v>46156</v>
      </c>
      <c r="D61" t="inlineStr">
        <is>
          <t>B 260556</t>
        </is>
      </c>
      <c r="E61" t="inlineStr">
        <is>
          <t>Leal e Soares España, S.L. / SIRO</t>
        </is>
      </c>
      <c r="F61" t="inlineStr">
        <is>
          <t>ANA BELEN FEIJOO VIDUEIRA / 34975084L</t>
        </is>
      </c>
      <c r="G61" s="90" t="n">
        <v>513.22</v>
      </c>
      <c r="H61" t="inlineStr">
        <is>
          <t>EUR</t>
        </is>
      </c>
      <c r="I61" t="inlineStr">
        <is>
          <t>Revisado</t>
        </is>
      </c>
      <c r="J61" s="50" t="inlineStr">
        <is>
          <t>Factura de mercancía al 10%.</t>
        </is>
      </c>
    </row>
    <row r="62" ht="28.5" customHeight="1" s="81">
      <c r="A62" t="n">
        <v>61</v>
      </c>
      <c r="B62" t="inlineStr">
        <is>
          <t>064_2T 2026_TPP Invoice-8489491A-0017.pdf</t>
        </is>
      </c>
      <c r="C62" s="83" t="n">
        <v>46147</v>
      </c>
      <c r="D62" t="inlineStr">
        <is>
          <t>8489491A-0017</t>
        </is>
      </c>
      <c r="E62" t="inlineStr">
        <is>
          <t>MENTORING AMZ GROUP LLC</t>
        </is>
      </c>
      <c r="F62" t="inlineStr">
        <is>
          <t>ANA BELEN FEIJOO VIDUEIRA / 34975084L</t>
        </is>
      </c>
      <c r="G62" s="90" t="n">
        <v>25</v>
      </c>
      <c r="H62" t="inlineStr">
        <is>
          <t>EUR</t>
        </is>
      </c>
      <c r="I62" t="inlineStr">
        <is>
          <t>Pendiente de revisión</t>
        </is>
      </c>
      <c r="J62" s="50" t="inlineStr">
        <is>
          <t>Proveedor de EE.UU. sin IVA. Revisar posible inversión del sujeto pasivo/servicio B2B y justificante de afectación a la actividad.</t>
        </is>
      </c>
    </row>
    <row r="63">
      <c r="A63" s="50" t="n">
        <v>62</v>
      </c>
      <c r="B63" s="50" t="inlineStr">
        <is>
          <t>065_2T 2026_COMUNIDAD ABRIL.pdf</t>
        </is>
      </c>
      <c r="C63" s="115" t="n">
        <v>46146</v>
      </c>
      <c r="D63" s="50" t="inlineStr">
        <is>
          <t>R-26-000117/1</t>
        </is>
      </c>
      <c r="E63" s="50" t="inlineStr">
        <is>
          <t>CDAD PROP CAMINO CANEIRO 12</t>
        </is>
      </c>
      <c r="F63" s="50" t="inlineStr">
        <is>
          <t>ANA BELEN FEIJOO VIDUEIRA / 34975084L</t>
        </is>
      </c>
      <c r="G63" s="92" t="n">
        <v>140</v>
      </c>
      <c r="H63" s="50" t="inlineStr">
        <is>
          <t>EUR</t>
        </is>
      </c>
      <c r="I63" s="50" t="inlineStr">
        <is>
          <t>Pendiente de revisión</t>
        </is>
      </c>
      <c r="J63" s="50" t="inlineStr">
        <is>
          <t>Justificante bancario. Revisar afectación del inmueble/actividad y si procede deducibilidad fiscal.</t>
        </is>
      </c>
    </row>
    <row r="64">
      <c r="A64" s="50" t="n">
        <v>63</v>
      </c>
      <c r="B64" s="50" t="inlineStr">
        <is>
          <t>066_2T 2026_COMUNIDAD MAYO.pdf</t>
        </is>
      </c>
      <c r="C64" s="115" t="n">
        <v>46174</v>
      </c>
      <c r="D64" s="50" t="inlineStr">
        <is>
          <t>R-26-000143/1</t>
        </is>
      </c>
      <c r="E64" s="50" t="inlineStr">
        <is>
          <t>CDAD PROP CAMINO CANEIRO 12</t>
        </is>
      </c>
      <c r="F64" s="50" t="inlineStr">
        <is>
          <t>ANA BELEN FEIJOO VIDUEIRA / 34975084L</t>
        </is>
      </c>
      <c r="G64" s="92" t="n">
        <v>132</v>
      </c>
      <c r="H64" s="50" t="inlineStr">
        <is>
          <t>EUR</t>
        </is>
      </c>
      <c r="I64" s="50" t="inlineStr">
        <is>
          <t>Pendiente de revisión</t>
        </is>
      </c>
      <c r="J64" s="50" t="inlineStr">
        <is>
          <t>Justificante bancario. Revisar afectación del inmueble/actividad y si procede deducibilidad fiscal.</t>
        </is>
      </c>
    </row>
    <row r="65">
      <c r="A65" s="50" t="n">
        <v>64</v>
      </c>
      <c r="B65" s="50" t="inlineStr">
        <is>
          <t>067_2T 2026_DIGI LOCAL ALQUILADO DGFC2617513172.pdf</t>
        </is>
      </c>
      <c r="C65" s="115" t="n">
        <v>46196</v>
      </c>
      <c r="D65" s="50" t="inlineStr">
        <is>
          <t>DGFC2617513172</t>
        </is>
      </c>
      <c r="E65" s="50" t="inlineStr">
        <is>
          <t>DIGI Spain Telecom, S.A.U.</t>
        </is>
      </c>
      <c r="F65" s="50" t="inlineStr">
        <is>
          <t>ANA BELEN FEIJOO VIDUEIRA / 34975084L</t>
        </is>
      </c>
      <c r="G65" s="92" t="n">
        <v>3.23</v>
      </c>
      <c r="H65" s="50" t="inlineStr">
        <is>
          <t>EUR</t>
        </is>
      </c>
      <c r="I65" s="50" t="inlineStr">
        <is>
          <t>Revisado</t>
        </is>
      </c>
      <c r="J65" s="50" t="inlineStr">
        <is>
          <t>Factura de telecomunicaciones del local alquilado con IVA 21%.</t>
        </is>
      </c>
    </row>
    <row r="66">
      <c r="A66" s="50" t="n">
        <v>65</v>
      </c>
      <c r="B66" s="50" t="inlineStr">
        <is>
          <t>068_2T 2026_EUROGROW CU2024268240.pdf</t>
        </is>
      </c>
      <c r="C66" s="115" t="n">
        <v>46189</v>
      </c>
      <c r="D66" s="50" t="inlineStr">
        <is>
          <t>CU2024268240</t>
        </is>
      </c>
      <c r="E66" s="50" t="inlineStr">
        <is>
          <t>COMPRAS SEGURAS 2015 S.L.U. / Eurogrow</t>
        </is>
      </c>
      <c r="F66" s="50" t="inlineStr">
        <is>
          <t>ANA BELEN FEIJOO VIDUEIRA / 34975084L</t>
        </is>
      </c>
      <c r="G66" s="92" t="n">
        <v>65.38</v>
      </c>
      <c r="H66" s="50" t="inlineStr">
        <is>
          <t>EUR</t>
        </is>
      </c>
      <c r="I66" s="50" t="inlineStr">
        <is>
          <t>Pendiente de revisión</t>
        </is>
      </c>
      <c r="J66" s="50" t="inlineStr">
        <is>
          <t>Factura con IVA 21%. Revisar afectación de productos a la actividad.</t>
        </is>
      </c>
    </row>
    <row r="67">
      <c r="A67" s="50" t="n">
        <v>66</v>
      </c>
      <c r="B67" s="50" t="inlineStr">
        <is>
          <t>069_2T 2026_FASAWOL-QUECARTUCHO 2026-Q-14190.PDF</t>
        </is>
      </c>
      <c r="C67" s="115" t="n">
        <v>46199</v>
      </c>
      <c r="D67" s="50" t="inlineStr">
        <is>
          <t>Q 14190</t>
        </is>
      </c>
      <c r="E67" s="50" t="inlineStr">
        <is>
          <t>FASAWORLD S.L. / Quecartucho</t>
        </is>
      </c>
      <c r="F67" s="50" t="inlineStr">
        <is>
          <t>ANA BELEN FEIJOO VIDUEIRA / 34975084L</t>
        </is>
      </c>
      <c r="G67" s="92" t="n">
        <v>61.35</v>
      </c>
      <c r="H67" s="50" t="inlineStr">
        <is>
          <t>EUR</t>
        </is>
      </c>
      <c r="I67" s="50" t="inlineStr">
        <is>
          <t>Revisado</t>
        </is>
      </c>
      <c r="J67" s="50" t="inlineStr">
        <is>
          <t>Factura española con IVA 21%.</t>
        </is>
      </c>
    </row>
    <row r="68">
      <c r="A68" s="50" t="n">
        <v>67</v>
      </c>
      <c r="B68" s="50" t="inlineStr">
        <is>
          <t>070_2T 2026_FINETWORK Factura_Abril 2026.pdf</t>
        </is>
      </c>
      <c r="C68" s="115" t="n">
        <v>46143</v>
      </c>
      <c r="D68" s="50" t="inlineStr">
        <is>
          <t>CNP2601497180</t>
        </is>
      </c>
      <c r="E68" s="50" t="inlineStr">
        <is>
          <t>WEWI MOBILE S.L. / Finetwork</t>
        </is>
      </c>
      <c r="F68" s="50" t="inlineStr">
        <is>
          <t>ANA BELEN FEIJOO VIDUEIRA / 34975084L</t>
        </is>
      </c>
      <c r="G68" s="92" t="n">
        <v>42.7</v>
      </c>
      <c r="H68" s="50" t="inlineStr">
        <is>
          <t>EUR</t>
        </is>
      </c>
      <c r="I68" s="50" t="inlineStr">
        <is>
          <t>Pendiente de revisión</t>
        </is>
      </c>
      <c r="J68" s="50" t="inlineStr">
        <is>
          <t>Telecomunicaciones en domicilio. Revisar afectación/deducibilidad antes de presentar.</t>
        </is>
      </c>
    </row>
    <row r="69">
      <c r="A69" s="50" t="n">
        <v>68</v>
      </c>
      <c r="B69" s="50" t="inlineStr">
        <is>
          <t>071_2T 2026_FINETWORK Factura_Mayo 2026.pdf</t>
        </is>
      </c>
      <c r="C69" s="115" t="n">
        <v>46174</v>
      </c>
      <c r="D69" s="50" t="inlineStr">
        <is>
          <t>CNP2601864214</t>
        </is>
      </c>
      <c r="E69" s="50" t="inlineStr">
        <is>
          <t>WEWI MOBILE S.L. / Finetwork</t>
        </is>
      </c>
      <c r="F69" s="50" t="inlineStr">
        <is>
          <t>ANA BELEN FEIJOO VIDUEIRA / 34975084L</t>
        </is>
      </c>
      <c r="G69" s="92" t="n">
        <v>38.89</v>
      </c>
      <c r="H69" s="50" t="inlineStr">
        <is>
          <t>EUR</t>
        </is>
      </c>
      <c r="I69" s="50" t="inlineStr">
        <is>
          <t>Pendiente de revisión</t>
        </is>
      </c>
      <c r="J69" s="50" t="inlineStr">
        <is>
          <t>Telecomunicaciones en domicilio. Revisar afectación/deducibilidad antes de presentar.</t>
        </is>
      </c>
    </row>
    <row r="70">
      <c r="A70" s="50" t="n">
        <v>69</v>
      </c>
      <c r="B70" s="50" t="inlineStr">
        <is>
          <t>072_2T 2026_FINETWORK Factura_Junio 2026.pdf</t>
        </is>
      </c>
      <c r="C70" s="115" t="n">
        <v>46204</v>
      </c>
      <c r="D70" s="50" t="inlineStr">
        <is>
          <t>CNP2602186099</t>
        </is>
      </c>
      <c r="E70" s="50" t="inlineStr">
        <is>
          <t>WEWI MOBILE S.L. / Finetwork</t>
        </is>
      </c>
      <c r="F70" s="50" t="inlineStr">
        <is>
          <t>ANA BELEN FEIJOO VIDUEIRA / 34975084L</t>
        </is>
      </c>
      <c r="G70" s="92" t="n">
        <v>38.89</v>
      </c>
      <c r="H70" s="50" t="inlineStr">
        <is>
          <t>EUR</t>
        </is>
      </c>
      <c r="I70" s="50" t="inlineStr">
        <is>
          <t>Pendiente de revisión</t>
        </is>
      </c>
      <c r="J70" s="50" t="inlineStr">
        <is>
          <t>Factura emitida 01/07 por servicio de junio. Revisar criterio de imputación/declaración en 2T.</t>
        </is>
      </c>
    </row>
    <row r="71">
      <c r="A71" s="50" t="n">
        <v>70</v>
      </c>
      <c r="B71" s="50" t="inlineStr">
        <is>
          <t>073_2T 2026_IONOS Factura_2026-06-26_202786679384.pdf</t>
        </is>
      </c>
      <c r="C71" s="115" t="n">
        <v>46199</v>
      </c>
      <c r="D71" s="50" t="inlineStr">
        <is>
          <t>202786679384</t>
        </is>
      </c>
      <c r="E71" s="50" t="inlineStr">
        <is>
          <t>IONOS Cloud S.L.U.</t>
        </is>
      </c>
      <c r="F71" s="50" t="inlineStr">
        <is>
          <t>ANA BELEN FEIJOO VIDUEIRA / 34975084L</t>
        </is>
      </c>
      <c r="G71" s="92" t="n">
        <v>10.29</v>
      </c>
      <c r="H71" s="50" t="inlineStr">
        <is>
          <t>EUR</t>
        </is>
      </c>
      <c r="I71" s="50" t="inlineStr">
        <is>
          <t>Revisado</t>
        </is>
      </c>
      <c r="J71" s="50" t="inlineStr">
        <is>
          <t>Factura española con IVA 21%.</t>
        </is>
      </c>
    </row>
    <row r="72">
      <c r="A72" s="50" t="n">
        <v>71</v>
      </c>
      <c r="B72" s="50" t="inlineStr">
        <is>
          <t>074_2T 2026_LEROY MERLIN f1f61925-0de9-4f36-be75-f84f3f5c2f4f.pdf</t>
        </is>
      </c>
      <c r="C72" s="115" t="n">
        <v>46193</v>
      </c>
      <c r="D72" s="50" t="inlineStr">
        <is>
          <t>058-0006-952306</t>
        </is>
      </c>
      <c r="E72" s="50" t="inlineStr">
        <is>
          <t>Leroy Merlin España S.L.U.</t>
        </is>
      </c>
      <c r="F72" s="50" t="inlineStr">
        <is>
          <t>ANA BELEN FEIJOO VIDUEIRA / 34975084L</t>
        </is>
      </c>
      <c r="G72" s="92" t="n">
        <v>29.8</v>
      </c>
      <c r="H72" s="50" t="inlineStr">
        <is>
          <t>EUR</t>
        </is>
      </c>
      <c r="I72" s="50" t="inlineStr">
        <is>
          <t>Pendiente de revisión</t>
        </is>
      </c>
      <c r="J72" s="50" t="inlineStr">
        <is>
          <t>Factura/ticket con IVA 21%. Revisar naturaleza del gasto y afectación a la actividad.</t>
        </is>
      </c>
    </row>
    <row r="73">
      <c r="A73" s="50" t="n">
        <v>72</v>
      </c>
      <c r="B73" s="50" t="inlineStr">
        <is>
          <t>075_2T 2026_NAVAPACK #TI669004776.pdf</t>
        </is>
      </c>
      <c r="C73" s="115" t="n">
        <v>46192</v>
      </c>
      <c r="D73" s="50" t="inlineStr">
        <is>
          <t>#TI669004776</t>
        </is>
      </c>
      <c r="E73" s="50" t="inlineStr">
        <is>
          <t>Navaprint Gráficas, S.L. / Navapack</t>
        </is>
      </c>
      <c r="F73" s="50" t="inlineStr">
        <is>
          <t>ANA BELEN FEIJOO VIDUEIRA / 34975084L</t>
        </is>
      </c>
      <c r="G73" s="92" t="n">
        <v>130.68</v>
      </c>
      <c r="H73" s="50" t="inlineStr">
        <is>
          <t>EUR</t>
        </is>
      </c>
      <c r="I73" s="50" t="inlineStr">
        <is>
          <t>Revisado</t>
        </is>
      </c>
      <c r="J73" s="50" t="inlineStr">
        <is>
          <t>Factura Navapack con IVA 21%.</t>
        </is>
      </c>
    </row>
    <row r="74">
      <c r="A74" s="50" t="n">
        <v>73</v>
      </c>
      <c r="B74" s="50" t="inlineStr">
        <is>
          <t>076_2T 2026_PLASTIC FORTE 20260625_2_13314.pdf</t>
        </is>
      </c>
      <c r="C74" s="115" t="n">
        <v>46198</v>
      </c>
      <c r="D74" s="50" t="inlineStr">
        <is>
          <t>26213314</t>
        </is>
      </c>
      <c r="E74" s="50" t="inlineStr">
        <is>
          <t>ALBERO FORTE COMPOSITE, S.L.U. / PlasticForte</t>
        </is>
      </c>
      <c r="F74" s="50" t="inlineStr">
        <is>
          <t>ANA BELEN FEIJOO VIDUEIRA / 34975084L</t>
        </is>
      </c>
      <c r="G74" s="92" t="n">
        <v>622.9</v>
      </c>
      <c r="H74" s="50" t="inlineStr">
        <is>
          <t>EUR</t>
        </is>
      </c>
      <c r="I74" s="50" t="inlineStr">
        <is>
          <t>Revisado</t>
        </is>
      </c>
      <c r="J74" s="50" t="inlineStr">
        <is>
          <t>Factura de mercancía al 21%. Incluye aportación SCRAP informativa.</t>
        </is>
      </c>
    </row>
    <row r="75">
      <c r="A75" s="50" t="n">
        <v>74</v>
      </c>
      <c r="B75" s="50" t="inlineStr">
        <is>
          <t>077_2T 2026_PUBLICIDAD AMAZON FRANCIA INVOICE-1179317G5PA26.pdf</t>
        </is>
      </c>
      <c r="C75" s="115" t="n">
        <v>46205</v>
      </c>
      <c r="D75" s="50" t="inlineStr">
        <is>
          <t>1179317G5PA26</t>
        </is>
      </c>
      <c r="E75" s="50" t="inlineStr">
        <is>
          <t>Amazon Online France SAS</t>
        </is>
      </c>
      <c r="F75" s="50" t="inlineStr">
        <is>
          <t>ANA BELEN FEIJOO VIDUEIRA / 34975084L</t>
        </is>
      </c>
      <c r="G75" s="92" t="n">
        <v>23.87</v>
      </c>
      <c r="H75" s="50" t="inlineStr">
        <is>
          <t>EUR</t>
        </is>
      </c>
      <c r="I75" s="50" t="inlineStr">
        <is>
          <t>Pendiente de revisión</t>
        </is>
      </c>
      <c r="J75" s="50" t="inlineStr">
        <is>
          <t>Factura 0% Francia con reverse charge. Periodo cruza 2T/3T; revisar imputación temporal y autorrepercusión.</t>
        </is>
      </c>
    </row>
    <row r="76">
      <c r="A76" s="50" t="n">
        <v>75</v>
      </c>
      <c r="B76" s="50" t="inlineStr">
        <is>
          <t>078_2T 2026_PUBLICIDAD AMAZON INVOICE-864039MUPA26.pdf</t>
        </is>
      </c>
      <c r="C76" s="115" t="n">
        <v>46205</v>
      </c>
      <c r="D76" s="50" t="inlineStr">
        <is>
          <t>864039MUPA26</t>
        </is>
      </c>
      <c r="E76" s="50" t="inlineStr">
        <is>
          <t>Amazon Online Spain, S.L.U.</t>
        </is>
      </c>
      <c r="F76" s="50" t="inlineStr">
        <is>
          <t>ANA BELEN FEIJOO VIDUEIRA / 34975084L</t>
        </is>
      </c>
      <c r="G76" s="92" t="n">
        <v>137.9</v>
      </c>
      <c r="H76" s="50" t="inlineStr">
        <is>
          <t>EUR</t>
        </is>
      </c>
      <c r="I76" s="50" t="inlineStr">
        <is>
          <t>Pendiente de revisión</t>
        </is>
      </c>
      <c r="J76" s="50" t="inlineStr">
        <is>
          <t>Factura emitida 02/07 con parte de periodo 2T. Revisar imputación temporal.</t>
        </is>
      </c>
    </row>
    <row r="77">
      <c r="A77" s="50" t="n">
        <v>76</v>
      </c>
      <c r="B77" s="50" t="inlineStr">
        <is>
          <t>079_2T 2026_PUBLICIDAD EN AMAZON ESPAÑA INVOICE-801413MUPA26.pdf</t>
        </is>
      </c>
      <c r="C77" s="115" t="n">
        <v>46200</v>
      </c>
      <c r="D77" s="50" t="inlineStr">
        <is>
          <t>801413MUPA26</t>
        </is>
      </c>
      <c r="E77" s="50" t="inlineStr">
        <is>
          <t>Amazon Online Spain, S.L.U.</t>
        </is>
      </c>
      <c r="F77" s="50" t="inlineStr">
        <is>
          <t>ANA BELEN FEIJOO VIDUEIRA / 34975084L</t>
        </is>
      </c>
      <c r="G77" s="92" t="n">
        <v>605.6799999999999</v>
      </c>
      <c r="H77" s="50" t="inlineStr">
        <is>
          <t>EUR</t>
        </is>
      </c>
      <c r="I77" s="50" t="inlineStr">
        <is>
          <t>Revisado</t>
        </is>
      </c>
      <c r="J77" s="50" t="inlineStr">
        <is>
          <t>Factura Amazon Ads España con IVA 21%.</t>
        </is>
      </c>
    </row>
    <row r="78">
      <c r="A78" s="50" t="n">
        <v>77</v>
      </c>
      <c r="B78" s="50" t="inlineStr">
        <is>
          <t>080_2T 2026_PUBLIDAD EN AMAZON ITALIA INVOICE-879336MTPA26.pdf</t>
        </is>
      </c>
      <c r="C78" s="115" t="n">
        <v>46205</v>
      </c>
      <c r="D78" s="50" t="inlineStr">
        <is>
          <t>879336MTPA26</t>
        </is>
      </c>
      <c r="E78" s="50" t="inlineStr">
        <is>
          <t>Amazon Online Italy S.R.L.</t>
        </is>
      </c>
      <c r="F78" s="50" t="inlineStr">
        <is>
          <t>ANA BELEN FEIJOO VIDUEIRA / 34975084L</t>
        </is>
      </c>
      <c r="G78" s="92" t="n">
        <v>3.61</v>
      </c>
      <c r="H78" s="50" t="inlineStr">
        <is>
          <t>EUR</t>
        </is>
      </c>
      <c r="I78" s="50" t="inlineStr">
        <is>
          <t>Pendiente de revisión</t>
        </is>
      </c>
      <c r="J78" s="50" t="inlineStr">
        <is>
          <t>Factura 0% Italia con reverse charge. Periodo cruza 2T/3T; revisar imputación temporal y autorrepercusión.</t>
        </is>
      </c>
    </row>
    <row r="79">
      <c r="A79" s="50" t="n">
        <v>61</v>
      </c>
      <c r="B79" s="50" t="inlineStr">
        <is>
          <t>064_2T 2026_TPP Invoice-8489491A-0017.pdf</t>
        </is>
      </c>
      <c r="C79" s="115" t="n">
        <v>46147</v>
      </c>
      <c r="D79" s="50" t="inlineStr">
        <is>
          <t>8489491A-0017</t>
        </is>
      </c>
      <c r="E79" s="50" t="inlineStr">
        <is>
          <t>MENTORING AMZ GROUP LLC</t>
        </is>
      </c>
      <c r="F79" s="50" t="inlineStr">
        <is>
          <t>ANA BELEN FEIJOO VIDUEIRA / 34975084L</t>
        </is>
      </c>
      <c r="G79" s="92" t="n">
        <v>25</v>
      </c>
      <c r="H79" s="50" t="inlineStr">
        <is>
          <t>EUR</t>
        </is>
      </c>
      <c r="I79" s="50" t="inlineStr">
        <is>
          <t>Pendiente de revisión</t>
        </is>
      </c>
      <c r="J79" s="50" t="inlineStr">
        <is>
          <t>Proveedor de EE.UU. sin IVA. Revisar posible inversión del sujeto pasivo/servicio B2B y justificante de afectación a la actividad.</t>
        </is>
      </c>
    </row>
    <row r="80">
      <c r="A80" t="n">
        <v>61</v>
      </c>
      <c r="B80" t="inlineStr">
        <is>
          <t>064_2T 2026_TPP Invoice-8489491A-0017.pdf</t>
        </is>
      </c>
      <c r="C80" s="83" t="n">
        <v>46147</v>
      </c>
      <c r="D80" t="inlineStr">
        <is>
          <t>8489491A-0017</t>
        </is>
      </c>
      <c r="E80" t="inlineStr">
        <is>
          <t>MENTORING AMZ GROUP LLC</t>
        </is>
      </c>
      <c r="F80" t="inlineStr">
        <is>
          <t>ANA BELEN FEIJOO VIDUEIRA / 34975084L</t>
        </is>
      </c>
      <c r="G80" s="84" t="n">
        <v>25</v>
      </c>
      <c r="H80" t="inlineStr">
        <is>
          <t>EUR</t>
        </is>
      </c>
      <c r="I80" t="inlineStr">
        <is>
          <t>Pendiente de revisión</t>
        </is>
      </c>
      <c r="J80" t="inlineStr">
        <is>
          <t>Proveedor de EE.UU. sin IVA. Revisar posible inversión del sujeto pasivo/servicio B2B y justificante de afectación a la actividad.</t>
        </is>
      </c>
    </row>
    <row r="81">
      <c r="A81" t="n">
        <v>81</v>
      </c>
      <c r="B81" t="inlineStr">
        <is>
          <t>081_2T 2026_RICARDO TERAN WB0000001368.PDF</t>
        </is>
      </c>
      <c r="C81" s="116" t="n">
        <v>46183</v>
      </c>
      <c r="D81" t="inlineStr">
        <is>
          <t>WB/1368</t>
        </is>
      </c>
      <c r="E81" t="inlineStr">
        <is>
          <t>RICARDO TERÁN, S.L.</t>
        </is>
      </c>
      <c r="F81" t="inlineStr">
        <is>
          <t>ANA BELEN FEIJOO VIDUEIRA / 34975084L</t>
        </is>
      </c>
      <c r="G81" s="90" t="n">
        <v>72.31</v>
      </c>
      <c r="H81" t="inlineStr">
        <is>
          <t>EUR</t>
        </is>
      </c>
      <c r="I81" t="inlineStr">
        <is>
          <t>Revisado</t>
        </is>
      </c>
      <c r="J81" t="inlineStr">
        <is>
          <t>Factura nacional mixta: base 10% 53,64 e IVA 5,36; portes 21% base 11,00 e IVA 2,31.</t>
        </is>
      </c>
    </row>
    <row r="82">
      <c r="A82" t="n">
        <v>82</v>
      </c>
      <c r="B82" t="inlineStr">
        <is>
          <t>082_2T 2026_RICARDO TERAN WB0000001385.PDF</t>
        </is>
      </c>
      <c r="C82" s="116" t="n">
        <v>46196</v>
      </c>
      <c r="D82" t="inlineStr">
        <is>
          <t>WB/1385</t>
        </is>
      </c>
      <c r="E82" t="inlineStr">
        <is>
          <t>RICARDO TERÁN, S.L.</t>
        </is>
      </c>
      <c r="F82" t="inlineStr">
        <is>
          <t>ANA BELEN FEIJOO VIDUEIRA / 34975084L</t>
        </is>
      </c>
      <c r="G82" s="90" t="n">
        <v>79.81999999999999</v>
      </c>
      <c r="H82" t="inlineStr">
        <is>
          <t>EUR</t>
        </is>
      </c>
      <c r="I82" t="inlineStr">
        <is>
          <t>Revisado</t>
        </is>
      </c>
      <c r="J82" t="inlineStr">
        <is>
          <t>Factura nacional mixta: base 10% 60,46 e IVA 6,05; portes 21% base 11,00 e IVA 2,31.</t>
        </is>
      </c>
    </row>
    <row r="83">
      <c r="A83" t="n">
        <v>83</v>
      </c>
      <c r="B83" t="inlineStr">
        <is>
          <t>083_2T 2026_SEGURO PRESTAMO ABRIL.pdf</t>
        </is>
      </c>
      <c r="C83" s="116" t="n">
        <v>46118</v>
      </c>
      <c r="D83" t="inlineStr">
        <is>
          <t>BBVA PLAN ESTARSEGURO ABRIL</t>
        </is>
      </c>
      <c r="E83" t="inlineStr">
        <is>
          <t>BBVA / Plan EstarSeguro</t>
        </is>
      </c>
      <c r="F83" t="inlineStr">
        <is>
          <t>ANA BELEN FEIJOO VIDUEIRA / 34975084L</t>
        </is>
      </c>
      <c r="G83" s="90" t="n">
        <v>42.46</v>
      </c>
      <c r="H83" t="inlineStr">
        <is>
          <t>EUR</t>
        </is>
      </c>
      <c r="I83" t="inlineStr">
        <is>
          <t>Pendiente de revisión</t>
        </is>
      </c>
      <c r="J83" t="inlineStr">
        <is>
          <t>Justificante bancario sin IVA. Revisar relación con préstamo afecto a la actividad.</t>
        </is>
      </c>
    </row>
    <row r="84">
      <c r="A84" t="n">
        <v>84</v>
      </c>
      <c r="B84" t="inlineStr">
        <is>
          <t>084_2T 2026_SEGURO PRESTAMO MAYO.pdf</t>
        </is>
      </c>
      <c r="C84" s="116" t="n">
        <v>46148</v>
      </c>
      <c r="D84" t="inlineStr">
        <is>
          <t>BBVA PLAN ESTARSEGURO MAYO</t>
        </is>
      </c>
      <c r="E84" t="inlineStr">
        <is>
          <t>BBVA / Plan EstarSeguro</t>
        </is>
      </c>
      <c r="F84" t="inlineStr">
        <is>
          <t>ANA BELEN FEIJOO VIDUEIRA / 34975084L</t>
        </is>
      </c>
      <c r="G84" s="90" t="n">
        <v>42.46</v>
      </c>
      <c r="H84" t="inlineStr">
        <is>
          <t>EUR</t>
        </is>
      </c>
      <c r="I84" t="inlineStr">
        <is>
          <t>Pendiente de revisión</t>
        </is>
      </c>
      <c r="J84" t="inlineStr">
        <is>
          <t>Justificante bancario sin IVA. Revisar relación con préstamo afecto a la actividad.</t>
        </is>
      </c>
    </row>
    <row r="85">
      <c r="A85" t="n">
        <v>85</v>
      </c>
      <c r="B85" t="inlineStr">
        <is>
          <t>085_2T 2026_SEGURO PRESTAMO JUNIO.pdf</t>
        </is>
      </c>
      <c r="C85" s="116" t="n">
        <v>46177</v>
      </c>
      <c r="D85" t="inlineStr">
        <is>
          <t>BBVA PLAN ESTARSEGURO JUNIO</t>
        </is>
      </c>
      <c r="E85" t="inlineStr">
        <is>
          <t>BBVA / Plan EstarSeguro</t>
        </is>
      </c>
      <c r="F85" t="inlineStr">
        <is>
          <t>ANA BELEN FEIJOO VIDUEIRA / 34975084L</t>
        </is>
      </c>
      <c r="G85" s="90" t="n">
        <v>42.41</v>
      </c>
      <c r="H85" t="inlineStr">
        <is>
          <t>EUR</t>
        </is>
      </c>
      <c r="I85" t="inlineStr">
        <is>
          <t>Pendiente de revisión</t>
        </is>
      </c>
      <c r="J85" t="inlineStr">
        <is>
          <t>Justificante bancario sin IVA. Revisar relación con préstamo afecto a la actividad.</t>
        </is>
      </c>
    </row>
    <row r="86">
      <c r="A86" t="n">
        <v>86</v>
      </c>
      <c r="B86" t="inlineStr">
        <is>
          <t>086_2T 2026_Stripe Tax Invoice PQAPRKNC-2026-05.pdf</t>
        </is>
      </c>
      <c r="C86" s="116" t="n">
        <v>46173</v>
      </c>
      <c r="D86" t="inlineStr">
        <is>
          <t>PQAPRKNC-2026-05</t>
        </is>
      </c>
      <c r="E86" t="inlineStr">
        <is>
          <t>Stripe Payments Europe, Limited</t>
        </is>
      </c>
      <c r="F86" t="inlineStr">
        <is>
          <t>ANA BELEN FEIJOO VIDUEIRA / 34975084L</t>
        </is>
      </c>
      <c r="G86" s="90" t="n">
        <v>1.01</v>
      </c>
      <c r="H86" t="inlineStr">
        <is>
          <t>EUR</t>
        </is>
      </c>
      <c r="I86" t="inlineStr">
        <is>
          <t>Pendiente de revisión</t>
        </is>
      </c>
      <c r="J86" t="inlineStr">
        <is>
          <t>Servicio intracomunitario; revisar NIF no informado y tratamiento por inversión sujeto pasivo.</t>
        </is>
      </c>
    </row>
    <row r="87">
      <c r="A87" t="n">
        <v>87</v>
      </c>
      <c r="B87" t="inlineStr">
        <is>
          <t>087_2T 2026_TPP Invoice-8489491A-0018.pdf</t>
        </is>
      </c>
      <c r="C87" s="116" t="n">
        <v>46178</v>
      </c>
      <c r="D87" t="inlineStr">
        <is>
          <t>8489491A-0018</t>
        </is>
      </c>
      <c r="E87" t="inlineStr">
        <is>
          <t>MENTORING AMZ GROUP LLC</t>
        </is>
      </c>
      <c r="F87" t="inlineStr">
        <is>
          <t>ANA BELEN FEIJOO VIDUEIRA / 34975084L</t>
        </is>
      </c>
      <c r="G87" s="90" t="n">
        <v>25</v>
      </c>
      <c r="H87" t="inlineStr">
        <is>
          <t>EUR</t>
        </is>
      </c>
      <c r="I87" t="inlineStr">
        <is>
          <t>Pendiente de revisión</t>
        </is>
      </c>
      <c r="J87" t="inlineStr">
        <is>
          <t>Proveedor de EE.UU. sin IVA. Revisar inversión sujeto pasivo y afectación.</t>
        </is>
      </c>
    </row>
    <row r="88">
      <c r="A88" t="n">
        <v>88</v>
      </c>
      <c r="B88" t="inlineStr">
        <is>
          <t>088_2T 2026_VIVEIROS CULTIFLOR FTRWE 125SEC426_35.pdf</t>
        </is>
      </c>
      <c r="C88" s="116" t="n">
        <v>46122</v>
      </c>
      <c r="D88" t="inlineStr">
        <is>
          <t>FTRWE 125SEC426/35</t>
        </is>
      </c>
      <c r="E88" t="inlineStr">
        <is>
          <t>VIVEIROS CULTIFLOR, UNIPESSOAL, LDA</t>
        </is>
      </c>
      <c r="F88" t="inlineStr">
        <is>
          <t>ANA BELEN FEIJOO VIDUEIRA / 34975084L</t>
        </is>
      </c>
      <c r="G88" s="90" t="n">
        <v>33.91</v>
      </c>
      <c r="H88" t="inlineStr">
        <is>
          <t>EUR</t>
        </is>
      </c>
      <c r="I88" t="inlineStr">
        <is>
          <t>Pendiente de revisión</t>
        </is>
      </c>
      <c r="J88" t="inlineStr">
        <is>
          <t>Factura portuguesa exenta art. 14 RITI; adquisición intracomunitaria pendiente de autorrepercusión/tipo aplicable.</t>
        </is>
      </c>
    </row>
    <row r="89">
      <c r="A89" t="n">
        <v>89</v>
      </c>
      <c r="B89" t="inlineStr">
        <is>
          <t>089_2T 2026_VIVEIROS CULTIFLOR FTRWE 125SEC426-71.pdf</t>
        </is>
      </c>
      <c r="C89" s="116" t="n">
        <v>46190</v>
      </c>
      <c r="D89" t="inlineStr">
        <is>
          <t>FTRWE 125SEC426/71</t>
        </is>
      </c>
      <c r="E89" t="inlineStr">
        <is>
          <t>VIVEIROS CULTIFLOR, UNIPESSOAL, LDA</t>
        </is>
      </c>
      <c r="F89" t="inlineStr">
        <is>
          <t>ANA BELEN FEIJOO VIDUEIRA / 34975084L</t>
        </is>
      </c>
      <c r="G89" s="90" t="n">
        <v>77.72</v>
      </c>
      <c r="H89" t="inlineStr">
        <is>
          <t>EUR</t>
        </is>
      </c>
      <c r="I89" t="inlineStr">
        <is>
          <t>Pendiente de revisión</t>
        </is>
      </c>
      <c r="J89" t="inlineStr">
        <is>
          <t>Factura portuguesa exenta art. 14 RITI; añadida una sola vez por existir duplicado de archivo.</t>
        </is>
      </c>
    </row>
    <row r="90">
      <c r="A90" t="n">
        <v>90</v>
      </c>
      <c r="B90" t="inlineStr">
        <is>
          <t>090_2T 2026_CHATGPT Invoice-FDE174A8-0031 MAYO CTA 1.pdf</t>
        </is>
      </c>
      <c r="C90" s="117" t="n">
        <v>46168</v>
      </c>
      <c r="D90" t="inlineStr">
        <is>
          <t>FDE174A8-0031</t>
        </is>
      </c>
      <c r="E90" t="inlineStr">
        <is>
          <t>OpenAI OpCo, LLC</t>
        </is>
      </c>
      <c r="F90" t="inlineStr">
        <is>
          <t>ANA BELEN FEIJOO VIDUEIRA / 34975084L</t>
        </is>
      </c>
      <c r="G90" t="n">
        <v>20.8</v>
      </c>
      <c r="H90" t="inlineStr">
        <is>
          <t>USD</t>
        </is>
      </c>
      <c r="I90" t="inlineStr">
        <is>
          <t>Revisado</t>
        </is>
      </c>
      <c r="J90" t="inlineStr">
        <is>
          <t>Factura OpenAI con NIF cliente informado. IVA español del 21% cobrado bajo ventanilla única (OSS).</t>
        </is>
      </c>
    </row>
    <row r="91">
      <c r="A91" t="n">
        <v>91</v>
      </c>
      <c r="B91" t="inlineStr">
        <is>
          <t>091_2T 2026_COMPRAS EN AMAZON JUNIO (3).pdf</t>
        </is>
      </c>
      <c r="C91" s="117" t="n">
        <v>46171</v>
      </c>
      <c r="D91" t="inlineStr">
        <is>
          <t>ES602DSXMC1ALS</t>
        </is>
      </c>
      <c r="E91" t="inlineStr">
        <is>
          <t>JUNALY SOLUTIONS SL</t>
        </is>
      </c>
      <c r="F91" t="inlineStr">
        <is>
          <t>ANA BELEN FEIJOO VIDUEIRA / 34975084L</t>
        </is>
      </c>
      <c r="G91" t="n">
        <v>18.94</v>
      </c>
      <c r="H91" t="inlineStr">
        <is>
          <t>EUR</t>
        </is>
      </c>
      <c r="I91" t="inlineStr">
        <is>
          <t>Revisado</t>
        </is>
      </c>
      <c r="J91" t="inlineStr">
        <is>
          <t>Compra nacional de material de limpieza para el local.</t>
        </is>
      </c>
    </row>
    <row r="92">
      <c r="A92" t="n">
        <v>92</v>
      </c>
      <c r="B92" t="inlineStr">
        <is>
          <t>092_2T 2026_COMPRAS EN AMAZON JUNIO (10).pdf</t>
        </is>
      </c>
      <c r="C92" s="117" t="n">
        <v>46180</v>
      </c>
      <c r="D92" t="inlineStr">
        <is>
          <t>ES6102IACAEUS</t>
        </is>
      </c>
      <c r="E92" t="inlineStr">
        <is>
          <t>Amazon EU S.à r.l., Sucursal en España</t>
        </is>
      </c>
      <c r="F92" t="inlineStr">
        <is>
          <t>ANA BELEN FEIJOO VIDUEIRA / 34975084L</t>
        </is>
      </c>
      <c r="G92" t="n">
        <v>15.98</v>
      </c>
      <c r="H92" t="inlineStr">
        <is>
          <t>EUR</t>
        </is>
      </c>
      <c r="I92" t="inlineStr">
        <is>
          <t>Revisado</t>
        </is>
      </c>
      <c r="J92" t="inlineStr">
        <is>
          <t>Utillaje/Mobiliario de oficina. Importe inferior a 300€ deducible en el año.</t>
        </is>
      </c>
    </row>
    <row r="93">
      <c r="A93" t="n">
        <v>93</v>
      </c>
      <c r="B93" t="inlineStr">
        <is>
          <t>093_2T 2026_COMPRAS EN AMAZON JUNIO (9).pdf</t>
        </is>
      </c>
      <c r="C93" s="117" t="n">
        <v>46180</v>
      </c>
      <c r="D93" t="inlineStr">
        <is>
          <t>ES6126JQPAEUD</t>
        </is>
      </c>
      <c r="E93" t="inlineStr">
        <is>
          <t>ShenZhenShiQiXinGongYingLianGuanLiYouXianGongSi</t>
        </is>
      </c>
      <c r="F93" t="inlineStr">
        <is>
          <t>ANA BELEN FEIJOO VIDUEIRA / 34975084L</t>
        </is>
      </c>
      <c r="G93" t="n">
        <v>10.99</v>
      </c>
      <c r="H93" t="inlineStr">
        <is>
          <t>EUR</t>
        </is>
      </c>
      <c r="I93" t="inlineStr">
        <is>
          <t>Revisado</t>
        </is>
      </c>
      <c r="J93" t="inlineStr">
        <is>
          <t>IVA declarado por Amazon en España (ventanilla única de importación).</t>
        </is>
      </c>
    </row>
    <row r="94">
      <c r="A94" t="n">
        <v>94</v>
      </c>
      <c r="B94" t="inlineStr">
        <is>
          <t>094_2T 2026_CIFRA CE261805004-ANOTADO.pdf</t>
        </is>
      </c>
      <c r="C94" s="117" t="n">
        <v>46185</v>
      </c>
      <c r="D94" t="inlineStr">
        <is>
          <t>CE261805004</t>
        </is>
      </c>
      <c r="E94" t="inlineStr">
        <is>
          <t>C.I.F.R.A., S.L.</t>
        </is>
      </c>
      <c r="F94" t="inlineStr">
        <is>
          <t>ANA BELEN FEIJOO VIDUEIRA / 34975084L</t>
        </is>
      </c>
      <c r="G94" t="n">
        <v>642.51</v>
      </c>
      <c r="H94" t="inlineStr">
        <is>
          <t>EUR</t>
        </is>
      </c>
      <c r="I94" t="inlineStr">
        <is>
          <t>Revisado</t>
        </is>
      </c>
      <c r="J94" t="inlineStr">
        <is>
          <t>Compra de existencias para reventa. Giro comercial a 30 y 60 días.</t>
        </is>
      </c>
    </row>
    <row r="95">
      <c r="A95" t="n">
        <v>95</v>
      </c>
      <c r="B95" t="inlineStr">
        <is>
          <t>095_2T 2026_360 imprenta Invoice-5012146.pdf</t>
        </is>
      </c>
      <c r="C95" s="117" t="n">
        <v>46191</v>
      </c>
      <c r="D95" t="inlineStr">
        <is>
          <t>FR FRES2025/297696</t>
        </is>
      </c>
      <c r="E95" t="inlineStr">
        <is>
          <t>360imprimir, SL</t>
        </is>
      </c>
      <c r="F95" t="inlineStr">
        <is>
          <t>ANA BELEN FEIJOO VIDUEIRA / 34975084L</t>
        </is>
      </c>
      <c r="G95" t="n">
        <v>85.44</v>
      </c>
      <c r="H95" t="inlineStr">
        <is>
          <t>EUR</t>
        </is>
      </c>
      <c r="I95" t="inlineStr">
        <is>
          <t>Revisado</t>
        </is>
      </c>
      <c r="J95" t="inlineStr">
        <is>
          <t>Material publicitario e imprenta para embalajes.</t>
        </is>
      </c>
    </row>
    <row r="96">
      <c r="A96" t="n">
        <v>96</v>
      </c>
      <c r="B96" t="inlineStr">
        <is>
          <t>096_2T 2026_COMPRAS EN AMAZON JUNIO (11).pdf</t>
        </is>
      </c>
      <c r="C96" s="117" t="n">
        <v>46192</v>
      </c>
      <c r="D96" t="inlineStr">
        <is>
          <t>GB60077FZ9YRJU</t>
        </is>
      </c>
      <c r="E96" t="inlineStr">
        <is>
          <t>HUIHUIP LIMITED</t>
        </is>
      </c>
      <c r="F96" t="inlineStr">
        <is>
          <t>ANA BELEN FEIJOO VIDUEIRA / 34975084L</t>
        </is>
      </c>
      <c r="G96" t="n">
        <v>88.81</v>
      </c>
      <c r="H96" t="inlineStr">
        <is>
          <t>EUR</t>
        </is>
      </c>
      <c r="I96" t="inlineStr">
        <is>
          <t>Revisado</t>
        </is>
      </c>
      <c r="J96" t="inlineStr">
        <is>
          <t>Mobiliario de oficina. IVA español cobrado y liquidado por el régimen de la Unión.</t>
        </is>
      </c>
    </row>
    <row r="97">
      <c r="A97" t="n">
        <v>97</v>
      </c>
      <c r="B97" t="inlineStr">
        <is>
          <t>097_2T 2026_ARTEVASI FA_2026_20448.pdf</t>
        </is>
      </c>
      <c r="C97" s="117" t="n">
        <v>46195</v>
      </c>
      <c r="D97" t="inlineStr">
        <is>
          <t>FT FA.2026/20448</t>
        </is>
      </c>
      <c r="E97" t="inlineStr">
        <is>
          <t>Artevasi, S.A.</t>
        </is>
      </c>
      <c r="F97" t="inlineStr">
        <is>
          <t>ANA BELEN FEIJOO VIDUEIRA / 34975084L</t>
        </is>
      </c>
      <c r="G97" t="n">
        <v>406.44</v>
      </c>
      <c r="H97" t="inlineStr">
        <is>
          <t>EUR</t>
        </is>
      </c>
      <c r="I97" t="inlineStr">
        <is>
          <t>Pendiente de revisión</t>
        </is>
      </c>
      <c r="J97" t="inlineStr">
        <is>
          <t>Factura exenta en Portugal por art. 14 RITI. Sujeta a autorrepercusión de IVA 21% en España.</t>
        </is>
      </c>
    </row>
    <row r="98">
      <c r="A98" t="n">
        <v>98</v>
      </c>
      <c r="B98" t="inlineStr">
        <is>
          <t>098_2T 2026_Aliababa China IMPRENTA Invoice 20260623.pdf</t>
        </is>
      </c>
      <c r="C98" s="117" t="n">
        <v>46196</v>
      </c>
      <c r="D98" t="inlineStr">
        <is>
          <t>20260623</t>
        </is>
      </c>
      <c r="E98" t="inlineStr">
        <is>
          <t>Shijiazhuang Tangyuan Forgery-Preventive Bar Code Printing Co., Ltd</t>
        </is>
      </c>
      <c r="F98" t="inlineStr">
        <is>
          <t>ANA BELEN FEIJOO VIDUEIRA / 34975084L</t>
        </is>
      </c>
      <c r="G98" t="n">
        <v>632.02</v>
      </c>
      <c r="H98" t="inlineStr">
        <is>
          <t>USD</t>
        </is>
      </c>
      <c r="I98" t="inlineStr">
        <is>
          <t>Pendiente de revisión</t>
        </is>
      </c>
      <c r="J98" t="inlineStr">
        <is>
          <t>Factura comercial Alibaba DDP. Conversión a EUR al tipo oficial del BCE (1.1392 USD/EUR). Pendiente de DUA.</t>
        </is>
      </c>
    </row>
    <row r="99">
      <c r="A99" t="n">
        <v>99</v>
      </c>
      <c r="B99" t="inlineStr">
        <is>
          <t>099_2T 2026_COMPRAS EN AMAZON JUNIO (1).pdf</t>
        </is>
      </c>
      <c r="C99" s="117" t="n">
        <v>46196</v>
      </c>
      <c r="D99" t="inlineStr">
        <is>
          <t>ES613S6YDAEUS</t>
        </is>
      </c>
      <c r="E99" t="inlineStr">
        <is>
          <t>Amazon EU S.à r.l., Sucursal en España</t>
        </is>
      </c>
      <c r="F99" t="inlineStr">
        <is>
          <t>ANA BELEN FEIJOO VIDUEIRA / 34975084L</t>
        </is>
      </c>
      <c r="G99" t="n">
        <v>11.99</v>
      </c>
      <c r="H99" t="inlineStr">
        <is>
          <t>EUR</t>
        </is>
      </c>
      <c r="I99" t="inlineStr">
        <is>
          <t>Revisado</t>
        </is>
      </c>
      <c r="J99" t="inlineStr">
        <is>
          <t>Gastos de conservación/limpieza de local comercial.</t>
        </is>
      </c>
    </row>
    <row r="100">
      <c r="A100" t="n">
        <v>100</v>
      </c>
      <c r="B100" t="inlineStr">
        <is>
          <t>100_2T 2026_CHATGPT Invoice-FDE174A8-0032.pdf</t>
        </is>
      </c>
      <c r="C100" s="117" t="n">
        <v>46199</v>
      </c>
      <c r="D100" t="inlineStr">
        <is>
          <t>FDE174A8-0032</t>
        </is>
      </c>
      <c r="E100" t="inlineStr">
        <is>
          <t>OpenAI OpCo, LLC</t>
        </is>
      </c>
      <c r="F100" t="inlineStr">
        <is>
          <t>ANA BELEN FEIJOO VIDUEIRA / 34975084L</t>
        </is>
      </c>
      <c r="G100" t="n">
        <v>21.15</v>
      </c>
      <c r="H100" t="inlineStr">
        <is>
          <t>USD</t>
        </is>
      </c>
      <c r="I100" t="inlineStr">
        <is>
          <t>Revisado</t>
        </is>
      </c>
      <c r="J100" t="inlineStr">
        <is>
          <t>Factura OpenAI con NIF cliente informado. IVA español del 21% cobrado bajo ventanilla única (OSS).</t>
        </is>
      </c>
    </row>
    <row r="101">
      <c r="A101" t="n">
        <v>101</v>
      </c>
      <c r="B101" t="inlineStr">
        <is>
          <t>101_2T 2026_CIFRA CE261808578.pdf</t>
        </is>
      </c>
      <c r="C101" s="117" t="n">
        <v>46202</v>
      </c>
      <c r="D101" t="inlineStr">
        <is>
          <t>CE261808578</t>
        </is>
      </c>
      <c r="E101" t="inlineStr">
        <is>
          <t>C.I.F.R.A., S.L.</t>
        </is>
      </c>
      <c r="F101" t="inlineStr">
        <is>
          <t>ANA BELEN FEIJOO VIDUEIRA / 34975084L</t>
        </is>
      </c>
      <c r="G101" t="n">
        <v>642.51</v>
      </c>
      <c r="H101" t="inlineStr">
        <is>
          <t>EUR</t>
        </is>
      </c>
      <c r="I101" t="inlineStr">
        <is>
          <t>Revisado</t>
        </is>
      </c>
      <c r="J101" t="inlineStr">
        <is>
          <t>Compra de existencias para reventa. Giro comercial a 30 y 60 días.</t>
        </is>
      </c>
    </row>
    <row r="102">
      <c r="A102" t="n">
        <v>102</v>
      </c>
      <c r="B102" t="inlineStr">
        <is>
          <t>102_2T 2026_AUTONOMOS JUNIO.pdf</t>
        </is>
      </c>
      <c r="C102" s="117" t="n">
        <v>46203</v>
      </c>
      <c r="D102" t="inlineStr">
        <is>
          <t>Adeudo TGSS 06/2026</t>
        </is>
      </c>
      <c r="E102" t="inlineStr">
        <is>
          <t>TGSS - R.E. Autónomos</t>
        </is>
      </c>
      <c r="F102" t="inlineStr">
        <is>
          <t>ANA BELEN FEIJOO VIDUEIRA / 34975084L</t>
        </is>
      </c>
      <c r="G102" t="n">
        <v>299.57</v>
      </c>
      <c r="H102" t="inlineStr">
        <is>
          <t>EUR</t>
        </is>
      </c>
      <c r="I102" t="inlineStr">
        <is>
          <t>Revisado</t>
        </is>
      </c>
      <c r="J102" t="inlineStr">
        <is>
          <t>Cargo bancario de cuota de autónomos; sin IVA.</t>
        </is>
      </c>
    </row>
    <row r="103">
      <c r="A103" t="n">
        <v>103</v>
      </c>
      <c r="B103" t="inlineStr">
        <is>
          <t>Alquiler JUNIO 03-26 ANA BELEN FEIJOO.pdf</t>
        </is>
      </c>
      <c r="C103" s="117" t="n">
        <v>46177</v>
      </c>
      <c r="D103" t="inlineStr">
        <is>
          <t>3</t>
        </is>
      </c>
      <c r="E103" t="inlineStr">
        <is>
          <t>ROSA FERNANDEZ DA BOUZA</t>
        </is>
      </c>
      <c r="F103" t="inlineStr">
        <is>
          <t>ANA BELEN FEIJOO VIDUEIRA / 34975084L</t>
        </is>
      </c>
      <c r="G103" t="n">
        <v>280</v>
      </c>
      <c r="H103" t="inlineStr">
        <is>
          <t>EUR</t>
        </is>
      </c>
      <c r="I103" t="inlineStr">
        <is>
          <t>Revisado</t>
        </is>
      </c>
      <c r="J103" t="inlineStr">
        <is>
          <t>Alquiler de local comercial sujeto a retención. Base: 280,00 €, IVA 21%: 58,80 €, Retención IRPF 19%: 53,20 €.</t>
        </is>
      </c>
    </row>
    <row r="104">
      <c r="A104" t="n">
        <v>104</v>
      </c>
      <c r="B104" t="inlineStr">
        <is>
          <t>ES-AEU-2026-484690.pdf</t>
        </is>
      </c>
      <c r="C104" s="117" t="n">
        <v>46203</v>
      </c>
      <c r="D104" t="inlineStr">
        <is>
          <t>ES-AEU-2026-484690</t>
        </is>
      </c>
      <c r="E104" t="inlineStr">
        <is>
          <t>Amazon EU S.à r.l., Sucursal en España</t>
        </is>
      </c>
      <c r="F104" t="inlineStr">
        <is>
          <t>ANA BELEN FEIJOO VIDUEIRA / 34975084L</t>
        </is>
      </c>
      <c r="G104" t="n">
        <v>4065.81</v>
      </c>
      <c r="H104" t="inlineStr">
        <is>
          <t>EUR</t>
        </is>
      </c>
      <c r="I104" t="inlineStr">
        <is>
          <t>Revisado</t>
        </is>
      </c>
      <c r="J104" t="inlineStr">
        <is>
          <t>Tarifas de logística de Amazon con IVA 21%.</t>
        </is>
      </c>
    </row>
    <row r="105">
      <c r="A105" t="n">
        <v>105</v>
      </c>
      <c r="B105" t="inlineStr">
        <is>
          <t>ES-AEU-2026-484703.pdf</t>
        </is>
      </c>
      <c r="C105" s="117" t="n">
        <v>46203</v>
      </c>
      <c r="D105" t="inlineStr">
        <is>
          <t>ES-AEU-2026-484703</t>
        </is>
      </c>
      <c r="E105" t="inlineStr">
        <is>
          <t>Amazon EU S.à r.l., Sucursal en España</t>
        </is>
      </c>
      <c r="F105" t="inlineStr">
        <is>
          <t>ANA BELEN FEIJOO VIDUEIRA / 34975084L</t>
        </is>
      </c>
      <c r="G105" t="n">
        <v>1222.46</v>
      </c>
      <c r="H105" t="inlineStr">
        <is>
          <t>EUR</t>
        </is>
      </c>
      <c r="I105" t="inlineStr">
        <is>
          <t>Revisado</t>
        </is>
      </c>
      <c r="J105" t="inlineStr">
        <is>
          <t>Tarifas de logística de Amazon con IVA 21%.</t>
        </is>
      </c>
    </row>
    <row r="106">
      <c r="A106" t="n">
        <v>106</v>
      </c>
      <c r="B106" t="inlineStr">
        <is>
          <t>ES-AEU-2026-497086.pdf</t>
        </is>
      </c>
      <c r="C106" s="117" t="n">
        <v>46203</v>
      </c>
      <c r="D106" t="inlineStr">
        <is>
          <t>ES-AEU-2026-497086</t>
        </is>
      </c>
      <c r="E106" t="inlineStr">
        <is>
          <t>Amazon EU S.à r.l., Sucursal en España</t>
        </is>
      </c>
      <c r="F106" t="inlineStr">
        <is>
          <t>ANA BELEN FEIJOO VIDUEIRA / 34975084L</t>
        </is>
      </c>
      <c r="G106" t="n">
        <v>28.88</v>
      </c>
      <c r="H106" t="inlineStr">
        <is>
          <t>EUR</t>
        </is>
      </c>
      <c r="I106" t="inlineStr">
        <is>
          <t>Revisado</t>
        </is>
      </c>
      <c r="J106" t="inlineStr">
        <is>
          <t>Tarifas de logística de Amazon exentas (Art. 69, 21.5 o 64 LIVA).</t>
        </is>
      </c>
    </row>
    <row r="107">
      <c r="A107" t="n">
        <v>107</v>
      </c>
      <c r="B107" t="inlineStr">
        <is>
          <t>ES-AEU-2026-502268.pdf</t>
        </is>
      </c>
      <c r="C107" s="117" t="n">
        <v>46203</v>
      </c>
      <c r="D107" t="inlineStr">
        <is>
          <t>ES-AEU-2026-502268</t>
        </is>
      </c>
      <c r="E107" t="inlineStr">
        <is>
          <t>Amazon EU S.à r.l., Sucursal en España</t>
        </is>
      </c>
      <c r="F107" t="inlineStr">
        <is>
          <t>ANA BELEN FEIJOO VIDUEIRA / 34975084L</t>
        </is>
      </c>
      <c r="G107" t="n">
        <v>397.44</v>
      </c>
      <c r="H107" t="inlineStr">
        <is>
          <t>EUR</t>
        </is>
      </c>
      <c r="I107" t="inlineStr">
        <is>
          <t>Revisado</t>
        </is>
      </c>
      <c r="J107" t="inlineStr">
        <is>
          <t>Tarifas de logística de Amazon con IVA 21%. Factura en francés.</t>
        </is>
      </c>
    </row>
    <row r="108">
      <c r="A108" t="n">
        <v>108</v>
      </c>
      <c r="B108" t="inlineStr">
        <is>
          <t>ES-AEU-2026-502276.pdf</t>
        </is>
      </c>
      <c r="C108" s="117" t="n">
        <v>46203</v>
      </c>
      <c r="D108" t="inlineStr">
        <is>
          <t>ES-AEU-2026-502276</t>
        </is>
      </c>
      <c r="E108" t="inlineStr">
        <is>
          <t>Amazon EU S.à r.l., Sucursal en España</t>
        </is>
      </c>
      <c r="F108" t="inlineStr">
        <is>
          <t>ANA BELEN FEIJOO VIDUEIRA / 34975084L</t>
        </is>
      </c>
      <c r="G108" t="n">
        <v>70.65000000000001</v>
      </c>
      <c r="H108" t="inlineStr">
        <is>
          <t>EUR</t>
        </is>
      </c>
      <c r="I108" t="inlineStr">
        <is>
          <t>Revisado</t>
        </is>
      </c>
      <c r="J108" t="inlineStr">
        <is>
          <t>Tarifas de logística de Amazon con IVA 21%. Factura en francés.</t>
        </is>
      </c>
    </row>
    <row r="109">
      <c r="A109" t="n">
        <v>109</v>
      </c>
      <c r="B109" t="inlineStr">
        <is>
          <t>ES-AEU-2026-513630.pdf</t>
        </is>
      </c>
      <c r="C109" s="117" t="n">
        <v>46203</v>
      </c>
      <c r="D109" t="inlineStr">
        <is>
          <t>ES-AEU-2026-513630</t>
        </is>
      </c>
      <c r="E109" t="inlineStr">
        <is>
          <t>Amazon EU S.à r.l., Sucursal en España</t>
        </is>
      </c>
      <c r="F109" t="inlineStr">
        <is>
          <t>ANA BELEN FEIJOO VIDUEIRA / 34975084L</t>
        </is>
      </c>
      <c r="G109" t="n">
        <v>84.13</v>
      </c>
      <c r="H109" t="inlineStr">
        <is>
          <t>EUR</t>
        </is>
      </c>
      <c r="I109" t="inlineStr">
        <is>
          <t>Revisado</t>
        </is>
      </c>
      <c r="J109" t="inlineStr">
        <is>
          <t>Tarifas de logística de Amazon con IVA 21%. Factura en italiano.</t>
        </is>
      </c>
    </row>
    <row r="110">
      <c r="A110" t="n">
        <v>110</v>
      </c>
      <c r="B110" t="inlineStr">
        <is>
          <t>ES-AEU-2026-513631.pdf</t>
        </is>
      </c>
      <c r="C110" s="117" t="n">
        <v>46203</v>
      </c>
      <c r="D110" t="inlineStr">
        <is>
          <t>ES-AEU-2026-513631</t>
        </is>
      </c>
      <c r="E110" t="inlineStr">
        <is>
          <t>Amazon EU S.à r.l., Sucursal en España</t>
        </is>
      </c>
      <c r="F110" t="inlineStr">
        <is>
          <t>ANA BELEN FEIJOO VIDUEIRA / 34975084L</t>
        </is>
      </c>
      <c r="G110" t="n">
        <v>16.84</v>
      </c>
      <c r="H110" t="inlineStr">
        <is>
          <t>EUR</t>
        </is>
      </c>
      <c r="I110" t="inlineStr">
        <is>
          <t>Revisado</t>
        </is>
      </c>
      <c r="J110" t="inlineStr">
        <is>
          <t>Tarifas de logística de Amazon con IVA 21%. Factura en italiano.</t>
        </is>
      </c>
    </row>
    <row r="111">
      <c r="A111" t="n">
        <v>111</v>
      </c>
      <c r="B111" t="inlineStr">
        <is>
          <t>ES-AEU-2026-549585.pdf</t>
        </is>
      </c>
      <c r="C111" s="117" t="n">
        <v>46203</v>
      </c>
      <c r="D111" t="inlineStr">
        <is>
          <t>ES-AEU-2026-549585</t>
        </is>
      </c>
      <c r="E111" t="inlineStr">
        <is>
          <t>Amazon EU S.à r.l., Sucursal en España</t>
        </is>
      </c>
      <c r="F111" t="inlineStr">
        <is>
          <t>ANA BELEN FEIJOO VIDUEIRA / 34975084L</t>
        </is>
      </c>
      <c r="G111" t="n">
        <v>4.62</v>
      </c>
      <c r="H111" t="inlineStr">
        <is>
          <t>EUR</t>
        </is>
      </c>
      <c r="I111" t="inlineStr">
        <is>
          <t>Revisado</t>
        </is>
      </c>
      <c r="J111" t="inlineStr">
        <is>
          <t>Tarifas de logística de Amazon con IVA 21%. Factura en alemán.</t>
        </is>
      </c>
    </row>
    <row r="112">
      <c r="A112" t="n">
        <v>112</v>
      </c>
      <c r="B112" t="inlineStr">
        <is>
          <t>ES-AEU-2026-573889.pdf</t>
        </is>
      </c>
      <c r="C112" s="117" t="n">
        <v>46203</v>
      </c>
      <c r="D112" t="inlineStr">
        <is>
          <t>ES-AEU-2026-573889</t>
        </is>
      </c>
      <c r="E112" t="inlineStr">
        <is>
          <t>Amazon EU S.à r.l., Sucursal en España</t>
        </is>
      </c>
      <c r="F112" t="inlineStr">
        <is>
          <t>ANA BELEN FEIJOO VIDUEIRA / 34975084L</t>
        </is>
      </c>
      <c r="G112" t="n">
        <v>1429.74</v>
      </c>
      <c r="H112" t="inlineStr">
        <is>
          <t>EUR</t>
        </is>
      </c>
      <c r="I112" t="inlineStr">
        <is>
          <t>Revisado</t>
        </is>
      </c>
      <c r="J112" t="inlineStr">
        <is>
          <t>Tarifas de logística de Amazon con IVA 21%.</t>
        </is>
      </c>
    </row>
    <row r="113">
      <c r="A113" t="n">
        <v>113</v>
      </c>
      <c r="B113" t="inlineStr">
        <is>
          <t>ES-AEU-2026-573890.pdf</t>
        </is>
      </c>
      <c r="C113" s="117" t="n">
        <v>46203</v>
      </c>
      <c r="D113" t="inlineStr">
        <is>
          <t>ES-AEU-2026-573890</t>
        </is>
      </c>
      <c r="E113" t="inlineStr">
        <is>
          <t>Amazon EU S.à r.l., Sucursal en España</t>
        </is>
      </c>
      <c r="F113" t="inlineStr">
        <is>
          <t>ANA BELEN FEIJOO VIDUEIRA / 34975084L</t>
        </is>
      </c>
      <c r="G113" t="n">
        <v>407.98</v>
      </c>
      <c r="H113" t="inlineStr">
        <is>
          <t>EUR</t>
        </is>
      </c>
      <c r="I113" t="inlineStr">
        <is>
          <t>Revisado</t>
        </is>
      </c>
      <c r="J113" t="inlineStr">
        <is>
          <t>Tarifas de logística de Amazon con IVA 21%.</t>
        </is>
      </c>
    </row>
    <row r="114">
      <c r="A114" t="n">
        <v>114</v>
      </c>
      <c r="B114" t="inlineStr">
        <is>
          <t>ES-AEU-2026-574007.pdf</t>
        </is>
      </c>
      <c r="C114" s="117" t="n">
        <v>46203</v>
      </c>
      <c r="D114" t="inlineStr">
        <is>
          <t>ES-AEU-2026-574007</t>
        </is>
      </c>
      <c r="E114" t="inlineStr">
        <is>
          <t>Amazon EU S.à r.l., Sucursal en España</t>
        </is>
      </c>
      <c r="F114" t="inlineStr">
        <is>
          <t>ANA BELEN FEIJOO VIDUEIRA / 34975084L</t>
        </is>
      </c>
      <c r="G114" t="n">
        <v>88.28</v>
      </c>
      <c r="H114" t="inlineStr">
        <is>
          <t>EUR</t>
        </is>
      </c>
      <c r="I114" t="inlineStr">
        <is>
          <t>Revisado</t>
        </is>
      </c>
      <c r="J114" t="inlineStr">
        <is>
          <t>Tarifas de logística de Amazon con IVA 21%. Factura en francés.</t>
        </is>
      </c>
    </row>
    <row r="115">
      <c r="A115" t="n">
        <v>115</v>
      </c>
      <c r="B115" t="inlineStr">
        <is>
          <t>ES-AEU-2026-574008.pdf</t>
        </is>
      </c>
      <c r="C115" s="117" t="n">
        <v>46203</v>
      </c>
      <c r="D115" t="inlineStr">
        <is>
          <t>ES-AEU-2026-574008</t>
        </is>
      </c>
      <c r="E115" t="inlineStr">
        <is>
          <t>Amazon EU S.à r.l., Sucursal en España</t>
        </is>
      </c>
      <c r="F115" t="inlineStr">
        <is>
          <t>ANA BELEN FEIJOO VIDUEIRA / 34975084L</t>
        </is>
      </c>
      <c r="G115" t="n">
        <v>17.98</v>
      </c>
      <c r="H115" t="inlineStr">
        <is>
          <t>EUR</t>
        </is>
      </c>
      <c r="I115" t="inlineStr">
        <is>
          <t>Revisado</t>
        </is>
      </c>
      <c r="J115" t="inlineStr">
        <is>
          <t>Tarifas de logística de Amazon con IVA 21%. Factura en francés.</t>
        </is>
      </c>
    </row>
    <row r="116">
      <c r="A116" t="n">
        <v>116</v>
      </c>
      <c r="B116" t="inlineStr">
        <is>
          <t>ES-AEU-2026-574355.pdf</t>
        </is>
      </c>
      <c r="C116" s="117" t="n">
        <v>46203</v>
      </c>
      <c r="D116" t="inlineStr">
        <is>
          <t>ES-AEU-2026-574355</t>
        </is>
      </c>
      <c r="E116" t="inlineStr">
        <is>
          <t>Amazon EU S.à r.l., Sucursal en España</t>
        </is>
      </c>
      <c r="F116" t="inlineStr">
        <is>
          <t>ANA BELEN FEIJOO VIDUEIRA / 34975084L</t>
        </is>
      </c>
      <c r="G116" t="n">
        <v>24.71</v>
      </c>
      <c r="H116" t="inlineStr">
        <is>
          <t>EUR</t>
        </is>
      </c>
      <c r="I116" t="inlineStr">
        <is>
          <t>Revisado</t>
        </is>
      </c>
      <c r="J116" t="inlineStr">
        <is>
          <t>Tarifas de logística de Amazon con IVA 21%. Factura en italiano.</t>
        </is>
      </c>
    </row>
    <row r="117">
      <c r="A117" t="n">
        <v>117</v>
      </c>
      <c r="B117" t="inlineStr">
        <is>
          <t>ES-AEU-2026-574356.pdf</t>
        </is>
      </c>
      <c r="C117" s="117" t="n">
        <v>46203</v>
      </c>
      <c r="D117" t="inlineStr">
        <is>
          <t>ES-AEU-2026-574356</t>
        </is>
      </c>
      <c r="E117" t="inlineStr">
        <is>
          <t>Amazon EU S.à r.l., Sucursal en España</t>
        </is>
      </c>
      <c r="F117" t="inlineStr">
        <is>
          <t>ANA BELEN FEIJOO VIDUEIRA / 34975084L</t>
        </is>
      </c>
      <c r="G117" t="n">
        <v>7.37</v>
      </c>
      <c r="H117" t="inlineStr">
        <is>
          <t>EUR</t>
        </is>
      </c>
      <c r="I117" t="inlineStr">
        <is>
          <t>Revisado</t>
        </is>
      </c>
      <c r="J117" t="inlineStr">
        <is>
          <t>Tarifas de logística de Amazon con IVA 21%. Factura en italiano.</t>
        </is>
      </c>
    </row>
    <row r="118">
      <c r="A118" t="n">
        <v>118</v>
      </c>
      <c r="B118" t="inlineStr">
        <is>
          <t>ES-AEU-2026-576839.pdf</t>
        </is>
      </c>
      <c r="C118" s="117" t="n">
        <v>46203</v>
      </c>
      <c r="D118" t="inlineStr">
        <is>
          <t>ES-AEU-2026-576839</t>
        </is>
      </c>
      <c r="E118" t="inlineStr">
        <is>
          <t>Amazon EU S.à r.l., Sucursal en España</t>
        </is>
      </c>
      <c r="F118" t="inlineStr">
        <is>
          <t>ANA BELEN FEIJOO VIDUEIRA / 34975084L</t>
        </is>
      </c>
      <c r="G118" t="n">
        <v>5.77</v>
      </c>
      <c r="H118" t="inlineStr">
        <is>
          <t>EUR</t>
        </is>
      </c>
      <c r="I118" t="inlineStr">
        <is>
          <t>Revisado</t>
        </is>
      </c>
      <c r="J118" t="inlineStr">
        <is>
          <t>Tarifas de logística de Amazon exentas (Art. 69, 21.5 o 64 LIVA).</t>
        </is>
      </c>
    </row>
    <row r="119">
      <c r="A119" t="n">
        <v>119</v>
      </c>
      <c r="B119" t="inlineStr">
        <is>
          <t>ES-CN-AEU-2026-134400.pdf</t>
        </is>
      </c>
      <c r="C119" s="117" t="n">
        <v>46203</v>
      </c>
      <c r="D119" t="inlineStr">
        <is>
          <t>ES-CN-AEU-2026-134400</t>
        </is>
      </c>
      <c r="E119" t="inlineStr">
        <is>
          <t>Amazon EU S.à r.l., Sucursal en España</t>
        </is>
      </c>
      <c r="F119" t="inlineStr">
        <is>
          <t>ANA BELEN FEIJOO VIDUEIRA / 34975084L</t>
        </is>
      </c>
      <c r="G119" t="n">
        <v>-47.11</v>
      </c>
      <c r="H119" t="inlineStr">
        <is>
          <t>EUR</t>
        </is>
      </c>
      <c r="I119" t="inlineStr">
        <is>
          <t>Revisado</t>
        </is>
      </c>
      <c r="J119" t="inlineStr">
        <is>
          <t>Nota de crédito de tarifas de logística de Amazon.</t>
        </is>
      </c>
    </row>
    <row r="120">
      <c r="A120" t="n">
        <v>120</v>
      </c>
      <c r="B120" t="inlineStr">
        <is>
          <t>ES-CN-AEU-2026-142678.pdf</t>
        </is>
      </c>
      <c r="C120" s="117" t="n">
        <v>46203</v>
      </c>
      <c r="D120" t="inlineStr">
        <is>
          <t>ES-CN-AEU-2026-142678</t>
        </is>
      </c>
      <c r="E120" t="inlineStr">
        <is>
          <t>Amazon EU S.à r.l., Sucursal en España</t>
        </is>
      </c>
      <c r="F120" t="inlineStr">
        <is>
          <t>ANA BELEN FEIJOO VIDUEIRA / 34975084L</t>
        </is>
      </c>
      <c r="G120" t="n">
        <v>-2.42</v>
      </c>
      <c r="H120" t="inlineStr">
        <is>
          <t>EUR</t>
        </is>
      </c>
      <c r="I120" t="inlineStr">
        <is>
          <t>Revisado</t>
        </is>
      </c>
      <c r="J120" t="inlineStr">
        <is>
          <t>Nota de crédito de tarifas de logística de Amazon.</t>
        </is>
      </c>
    </row>
    <row r="121">
      <c r="A121" t="n">
        <v>121</v>
      </c>
      <c r="B121" t="inlineStr">
        <is>
          <t>ES-CN-AEU-2026-154550.pdf</t>
        </is>
      </c>
      <c r="C121" s="117" t="n">
        <v>46203</v>
      </c>
      <c r="D121" t="inlineStr">
        <is>
          <t>ES-CN-AEU-2026-154550</t>
        </is>
      </c>
      <c r="E121" t="inlineStr">
        <is>
          <t>Amazon EU S.à r.l., Sucursal en España</t>
        </is>
      </c>
      <c r="F121" t="inlineStr">
        <is>
          <t>ANA BELEN FEIJOO VIDUEIRA / 34975084L</t>
        </is>
      </c>
      <c r="G121" t="n">
        <v>-4.5</v>
      </c>
      <c r="H121" t="inlineStr">
        <is>
          <t>EUR</t>
        </is>
      </c>
      <c r="I121" t="inlineStr">
        <is>
          <t>Revisado</t>
        </is>
      </c>
      <c r="J121" t="inlineStr">
        <is>
          <t>Nota de crédito de tarifas de logística de Amazon.</t>
        </is>
      </c>
    </row>
    <row r="122">
      <c r="A122" t="n">
        <v>122</v>
      </c>
      <c r="B122" t="inlineStr">
        <is>
          <t>ES-CN-AEU-2026-155131.pdf</t>
        </is>
      </c>
      <c r="C122" s="117" t="n">
        <v>46203</v>
      </c>
      <c r="D122" t="inlineStr">
        <is>
          <t>ES-CN-AEU-2026-155131</t>
        </is>
      </c>
      <c r="E122" t="inlineStr">
        <is>
          <t>Amazon EU S.à r.l., Sucursal en España</t>
        </is>
      </c>
      <c r="F122" t="inlineStr">
        <is>
          <t>ANA BELEN FEIJOO VIDUEIRA / 34975084L</t>
        </is>
      </c>
      <c r="G122" t="n">
        <v>-3.85</v>
      </c>
      <c r="H122" t="inlineStr">
        <is>
          <t>EUR</t>
        </is>
      </c>
      <c r="I122" t="inlineStr">
        <is>
          <t>Revisado</t>
        </is>
      </c>
      <c r="J122" t="inlineStr">
        <is>
          <t>Nota de crédito de tarifas de logística de Amazon exenta.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71.25" customWidth="1" style="81" min="1" max="1"/>
    <col width="9.380000114440918" customWidth="1" style="81" min="2" max="2"/>
    <col width="13.88000011444092" customWidth="1" style="81" min="3" max="3"/>
    <col width="34" customWidth="1" style="81" min="4" max="4"/>
    <col width="7.630000114440918" customWidth="1" style="81" min="5" max="5"/>
    <col width="11.38000011444092" customWidth="1" style="81" min="6" max="6"/>
    <col width="7.75" customWidth="1" style="81" min="7" max="7"/>
    <col width="48" customWidth="1" style="81" min="8" max="8"/>
  </cols>
  <sheetData>
    <row r="1">
      <c r="A1" s="78" t="inlineStr">
        <is>
          <t>Resumen de documentos añadidos al cálculo - Ana Belén Feijoo - 2T 2026</t>
        </is>
      </c>
      <c r="B1" s="24" t="n"/>
      <c r="C1" s="24" t="n"/>
      <c r="D1" s="24" t="n"/>
      <c r="E1" s="24" t="n"/>
      <c r="F1" s="24" t="n"/>
      <c r="G1" s="24" t="n"/>
      <c r="H1" s="24" t="n"/>
    </row>
    <row r="3">
      <c r="A3" s="79" t="inlineStr">
        <is>
          <t>Nº</t>
        </is>
      </c>
      <c r="B3" s="79" t="inlineStr">
        <is>
          <t>Fecha</t>
        </is>
      </c>
      <c r="C3" s="79" t="inlineStr">
        <is>
          <t>Documento</t>
        </is>
      </c>
      <c r="D3" s="79" t="inlineStr">
        <is>
          <t>Proveedor</t>
        </is>
      </c>
      <c r="E3" s="79" t="inlineStr">
        <is>
          <t>Base EUR</t>
        </is>
      </c>
      <c r="F3" s="79" t="inlineStr">
        <is>
          <t>IVA EUR</t>
        </is>
      </c>
      <c r="G3" s="79" t="inlineStr">
        <is>
          <t>Total EUR</t>
        </is>
      </c>
      <c r="H3" s="79" t="inlineStr">
        <is>
          <t>Tratamiento</t>
        </is>
      </c>
    </row>
    <row r="4">
      <c r="A4" s="50" t="n">
        <v>65</v>
      </c>
      <c r="B4" s="115" t="n">
        <v>46146</v>
      </c>
      <c r="C4" s="50" t="inlineStr">
        <is>
          <t>R-26-000117/1</t>
        </is>
      </c>
      <c r="D4" s="50" t="inlineStr">
        <is>
          <t>CDAD PROP CAMINO CANEIRO 12</t>
        </is>
      </c>
      <c r="E4" s="92" t="n">
        <v>140</v>
      </c>
      <c r="F4" s="92" t="n">
        <v>0</v>
      </c>
      <c r="G4" s="92" t="n">
        <v>140</v>
      </c>
      <c r="H4" s="50" t="inlineStr">
        <is>
          <t>Gasto sin IVA / comunidad</t>
        </is>
      </c>
    </row>
    <row r="5">
      <c r="A5" s="50" t="n">
        <v>66</v>
      </c>
      <c r="B5" s="115" t="n">
        <v>46174</v>
      </c>
      <c r="C5" s="50" t="inlineStr">
        <is>
          <t>R-26-000143/1</t>
        </is>
      </c>
      <c r="D5" s="50" t="inlineStr">
        <is>
          <t>CDAD PROP CAMINO CANEIRO 12</t>
        </is>
      </c>
      <c r="E5" s="92" t="n">
        <v>132</v>
      </c>
      <c r="F5" s="92" t="n">
        <v>0</v>
      </c>
      <c r="G5" s="92" t="n">
        <v>132</v>
      </c>
      <c r="H5" s="50" t="inlineStr">
        <is>
          <t>Gasto sin IVA / comunidad</t>
        </is>
      </c>
    </row>
    <row r="6">
      <c r="A6" s="50" t="n">
        <v>67</v>
      </c>
      <c r="B6" s="115" t="n">
        <v>46196</v>
      </c>
      <c r="C6" s="50" t="inlineStr">
        <is>
          <t>DGFC2617513172</t>
        </is>
      </c>
      <c r="D6" s="50" t="inlineStr">
        <is>
          <t>DIGI Spain Telecom, S.A.U.</t>
        </is>
      </c>
      <c r="E6" s="92" t="n">
        <v>2.67</v>
      </c>
      <c r="F6" s="92" t="n">
        <v>0.5600000000000001</v>
      </c>
      <c r="G6" s="92" t="n">
        <v>3.23</v>
      </c>
      <c r="H6" s="50" t="inlineStr">
        <is>
          <t>Gasto con IVA soportado nacional</t>
        </is>
      </c>
    </row>
    <row r="7">
      <c r="A7" s="50" t="n">
        <v>68</v>
      </c>
      <c r="B7" s="115" t="n">
        <v>46189</v>
      </c>
      <c r="C7" s="50" t="inlineStr">
        <is>
          <t>CU2024268240</t>
        </is>
      </c>
      <c r="D7" s="50" t="inlineStr">
        <is>
          <t>COMPRAS SEGURAS 2015 S.L.U. / Eurogrow</t>
        </is>
      </c>
      <c r="E7" s="92" t="n">
        <v>54.03</v>
      </c>
      <c r="F7" s="92" t="n">
        <v>11.35</v>
      </c>
      <c r="G7" s="92" t="n">
        <v>65.38</v>
      </c>
      <c r="H7" s="50" t="inlineStr">
        <is>
          <t>Compra/gasto con IVA soportado nacional</t>
        </is>
      </c>
    </row>
    <row r="8">
      <c r="A8" s="50" t="n">
        <v>69</v>
      </c>
      <c r="B8" s="115" t="n">
        <v>46199</v>
      </c>
      <c r="C8" s="50" t="inlineStr">
        <is>
          <t>Q 14190</t>
        </is>
      </c>
      <c r="D8" s="50" t="inlineStr">
        <is>
          <t>FASAWORLD S.L. / Quecartucho</t>
        </is>
      </c>
      <c r="E8" s="92" t="n">
        <v>50.7</v>
      </c>
      <c r="F8" s="92" t="n">
        <v>10.65</v>
      </c>
      <c r="G8" s="92" t="n">
        <v>61.35</v>
      </c>
      <c r="H8" s="50" t="inlineStr">
        <is>
          <t>Gasto con IVA soportado nacional</t>
        </is>
      </c>
    </row>
    <row r="9">
      <c r="A9" s="50" t="n">
        <v>70</v>
      </c>
      <c r="B9" s="115" t="n">
        <v>46143</v>
      </c>
      <c r="C9" s="50" t="inlineStr">
        <is>
          <t>CNP2601497180</t>
        </is>
      </c>
      <c r="D9" s="50" t="inlineStr">
        <is>
          <t>WEWI MOBILE S.L. / Finetwork</t>
        </is>
      </c>
      <c r="E9" s="92" t="n">
        <v>35.29</v>
      </c>
      <c r="F9" s="92" t="n">
        <v>7.41</v>
      </c>
      <c r="G9" s="92" t="n">
        <v>42.7</v>
      </c>
      <c r="H9" s="50" t="inlineStr">
        <is>
          <t>Gasto con IVA soportado nacional</t>
        </is>
      </c>
    </row>
    <row r="10">
      <c r="A10" s="50" t="n">
        <v>71</v>
      </c>
      <c r="B10" s="115" t="n">
        <v>46174</v>
      </c>
      <c r="C10" s="50" t="inlineStr">
        <is>
          <t>CNP2601864214</t>
        </is>
      </c>
      <c r="D10" s="50" t="inlineStr">
        <is>
          <t>WEWI MOBILE S.L. / Finetwork</t>
        </is>
      </c>
      <c r="E10" s="92" t="n">
        <v>32.14</v>
      </c>
      <c r="F10" s="92" t="n">
        <v>6.75</v>
      </c>
      <c r="G10" s="92" t="n">
        <v>38.89</v>
      </c>
      <c r="H10" s="50" t="inlineStr">
        <is>
          <t>Gasto con IVA soportado nacional</t>
        </is>
      </c>
    </row>
    <row r="11">
      <c r="A11" s="50" t="n">
        <v>72</v>
      </c>
      <c r="B11" s="115" t="n">
        <v>46204</v>
      </c>
      <c r="C11" s="50" t="inlineStr">
        <is>
          <t>CNP2602186099</t>
        </is>
      </c>
      <c r="D11" s="50" t="inlineStr">
        <is>
          <t>WEWI MOBILE S.L. / Finetwork</t>
        </is>
      </c>
      <c r="E11" s="92" t="n">
        <v>32.14</v>
      </c>
      <c r="F11" s="92" t="n">
        <v>6.75</v>
      </c>
      <c r="G11" s="92" t="n">
        <v>38.89</v>
      </c>
      <c r="H11" s="50" t="inlineStr">
        <is>
          <t>Gasto con IVA soportado nacional</t>
        </is>
      </c>
    </row>
    <row r="12">
      <c r="A12" s="50" t="n">
        <v>73</v>
      </c>
      <c r="B12" s="115" t="n">
        <v>46199</v>
      </c>
      <c r="C12" s="50" t="inlineStr">
        <is>
          <t>202786679384</t>
        </is>
      </c>
      <c r="D12" s="50" t="inlineStr">
        <is>
          <t>IONOS Cloud S.L.U.</t>
        </is>
      </c>
      <c r="E12" s="92" t="n">
        <v>8.5</v>
      </c>
      <c r="F12" s="92" t="n">
        <v>1.79</v>
      </c>
      <c r="G12" s="92" t="n">
        <v>10.29</v>
      </c>
      <c r="H12" s="50" t="inlineStr">
        <is>
          <t>Gasto con IVA soportado nacional</t>
        </is>
      </c>
    </row>
    <row r="13">
      <c r="A13" s="50" t="n">
        <v>74</v>
      </c>
      <c r="B13" s="115" t="n">
        <v>46193</v>
      </c>
      <c r="C13" s="50" t="inlineStr">
        <is>
          <t>058-0006-952306</t>
        </is>
      </c>
      <c r="D13" s="50" t="inlineStr">
        <is>
          <t>Leroy Merlin España S.L.U.</t>
        </is>
      </c>
      <c r="E13" s="92" t="n">
        <v>24.63</v>
      </c>
      <c r="F13" s="92" t="n">
        <v>5.17</v>
      </c>
      <c r="G13" s="92" t="n">
        <v>29.8</v>
      </c>
      <c r="H13" s="50" t="inlineStr">
        <is>
          <t>Gasto con IVA soportado nacional</t>
        </is>
      </c>
    </row>
    <row r="14">
      <c r="A14" s="50" t="n">
        <v>75</v>
      </c>
      <c r="B14" s="115" t="n">
        <v>46192</v>
      </c>
      <c r="C14" s="50" t="inlineStr">
        <is>
          <t>#TI669004776</t>
        </is>
      </c>
      <c r="D14" s="50" t="inlineStr">
        <is>
          <t>Navaprint Gráficas, S.L. / Navapack</t>
        </is>
      </c>
      <c r="E14" s="92" t="n">
        <v>108</v>
      </c>
      <c r="F14" s="92" t="n">
        <v>22.68</v>
      </c>
      <c r="G14" s="92" t="n">
        <v>130.68</v>
      </c>
      <c r="H14" s="50" t="inlineStr">
        <is>
          <t>Gasto con IVA soportado nacional</t>
        </is>
      </c>
    </row>
    <row r="15">
      <c r="A15" s="50" t="n">
        <v>76</v>
      </c>
      <c r="B15" s="115" t="n">
        <v>46198</v>
      </c>
      <c r="C15" s="50" t="inlineStr">
        <is>
          <t>26213314</t>
        </is>
      </c>
      <c r="D15" s="50" t="inlineStr">
        <is>
          <t>ALBERO FORTE COMPOSITE, S.L.U. / PlasticForte</t>
        </is>
      </c>
      <c r="E15" s="92" t="n">
        <v>514.79</v>
      </c>
      <c r="F15" s="92" t="n">
        <v>108.11</v>
      </c>
      <c r="G15" s="92" t="n">
        <v>622.9</v>
      </c>
      <c r="H15" s="50" t="inlineStr">
        <is>
          <t>Compra de mercancía con IVA soportado nacional</t>
        </is>
      </c>
    </row>
    <row r="16">
      <c r="A16" s="50" t="n">
        <v>77</v>
      </c>
      <c r="B16" s="115" t="n">
        <v>46205</v>
      </c>
      <c r="C16" s="50" t="inlineStr">
        <is>
          <t>1179317G5PA26</t>
        </is>
      </c>
      <c r="D16" s="50" t="inlineStr">
        <is>
          <t>Amazon Online France SAS</t>
        </is>
      </c>
      <c r="E16" s="92" t="n">
        <v>23.87</v>
      </c>
      <c r="F16" s="92" t="n">
        <v>0</v>
      </c>
      <c r="G16" s="92" t="n">
        <v>23.87</v>
      </c>
      <c r="H16" s="50" t="inlineStr">
        <is>
          <t>Servicio intracomunitario con inversión sujeto pasivo</t>
        </is>
      </c>
    </row>
    <row r="17">
      <c r="A17" s="50" t="n">
        <v>78</v>
      </c>
      <c r="B17" s="115" t="n">
        <v>46205</v>
      </c>
      <c r="C17" s="50" t="inlineStr">
        <is>
          <t>864039MUPA26</t>
        </is>
      </c>
      <c r="D17" s="50" t="inlineStr">
        <is>
          <t>Amazon Online Spain, S.L.U.</t>
        </is>
      </c>
      <c r="E17" s="92" t="n">
        <v>113.97</v>
      </c>
      <c r="F17" s="92" t="n">
        <v>23.93</v>
      </c>
      <c r="G17" s="92" t="n">
        <v>137.9</v>
      </c>
      <c r="H17" s="50" t="inlineStr">
        <is>
          <t>Gasto con IVA soportado nacional</t>
        </is>
      </c>
    </row>
    <row r="18">
      <c r="A18" s="50" t="n">
        <v>79</v>
      </c>
      <c r="B18" s="115" t="n">
        <v>46200</v>
      </c>
      <c r="C18" s="50" t="inlineStr">
        <is>
          <t>801413MUPA26</t>
        </is>
      </c>
      <c r="D18" s="50" t="inlineStr">
        <is>
          <t>Amazon Online Spain, S.L.U.</t>
        </is>
      </c>
      <c r="E18" s="92" t="n">
        <v>500.56</v>
      </c>
      <c r="F18" s="92" t="n">
        <v>105.12</v>
      </c>
      <c r="G18" s="92" t="n">
        <v>605.6799999999999</v>
      </c>
      <c r="H18" s="50" t="inlineStr">
        <is>
          <t>Gasto con IVA soportado nacional</t>
        </is>
      </c>
    </row>
    <row r="19">
      <c r="A19" s="50" t="n">
        <v>80</v>
      </c>
      <c r="B19" s="115" t="n">
        <v>46205</v>
      </c>
      <c r="C19" s="50" t="inlineStr">
        <is>
          <t>879336MTPA26</t>
        </is>
      </c>
      <c r="D19" s="50" t="inlineStr">
        <is>
          <t>Amazon Online Italy S.R.L.</t>
        </is>
      </c>
      <c r="E19" s="92" t="n">
        <v>3.61</v>
      </c>
      <c r="F19" s="92" t="n">
        <v>0</v>
      </c>
      <c r="G19" s="92" t="n">
        <v>3.61</v>
      </c>
      <c r="H19" s="50" t="inlineStr">
        <is>
          <t>Servicio intracomunitario con inversión sujeto pasivo</t>
        </is>
      </c>
    </row>
    <row r="20">
      <c r="A20" s="50" t="n"/>
      <c r="B20" s="50" t="n"/>
      <c r="C20" s="50" t="n"/>
      <c r="D20" s="50" t="n"/>
      <c r="E20" s="50" t="n"/>
      <c r="F20" s="50" t="n"/>
      <c r="G20" s="50" t="n"/>
      <c r="H20" s="50" t="n"/>
    </row>
    <row r="21">
      <c r="A21" s="79" t="inlineStr">
        <is>
          <t>Totales añadidos</t>
        </is>
      </c>
      <c r="B21" s="79" t="n"/>
      <c r="C21" s="79" t="n"/>
      <c r="D21" s="79" t="n"/>
      <c r="E21" s="79" t="inlineStr">
        <is>
          <t>Base EUR</t>
        </is>
      </c>
      <c r="F21" s="79" t="inlineStr">
        <is>
          <t>IVA soportado</t>
        </is>
      </c>
      <c r="G21" s="79" t="inlineStr">
        <is>
          <t>Total EUR</t>
        </is>
      </c>
      <c r="H21" s="79" t="inlineStr">
        <is>
          <t>Observaciones</t>
        </is>
      </c>
    </row>
    <row r="22">
      <c r="A22" s="50" t="inlineStr">
        <is>
          <t>Nacional 21%</t>
        </is>
      </c>
      <c r="B22" s="50" t="n"/>
      <c r="C22" s="50" t="n"/>
      <c r="D22" s="50" t="n"/>
      <c r="E22" s="92" t="n">
        <v>1477.42</v>
      </c>
      <c r="F22" s="92" t="n">
        <v>310.27</v>
      </c>
      <c r="G22" s="92" t="n">
        <v>1787.69</v>
      </c>
      <c r="H22" s="50" t="inlineStr">
        <is>
          <t>Incluye telecomunicaciones, mercancía, publicidad Amazon España, servicios digitales y compras nacionales</t>
        </is>
      </c>
    </row>
    <row r="23">
      <c r="A23" s="50" t="inlineStr">
        <is>
          <t>Sin IVA / comunidad</t>
        </is>
      </c>
      <c r="B23" s="50" t="n"/>
      <c r="C23" s="50" t="n"/>
      <c r="D23" s="50" t="n"/>
      <c r="E23" s="92" t="n">
        <v>272</v>
      </c>
      <c r="F23" s="92" t="n">
        <v>0</v>
      </c>
      <c r="G23" s="92" t="n">
        <v>272</v>
      </c>
      <c r="H23" s="50" t="inlineStr">
        <is>
          <t>Comunidad de propietarios; revisar afectación/deducibilidad</t>
        </is>
      </c>
    </row>
    <row r="24">
      <c r="A24" s="50" t="inlineStr">
        <is>
          <t>Servicios intracomunitarios</t>
        </is>
      </c>
      <c r="B24" s="50" t="n"/>
      <c r="C24" s="50" t="n"/>
      <c r="D24" s="50" t="n"/>
      <c r="E24" s="92" t="n">
        <v>27.48</v>
      </c>
      <c r="F24" s="92" t="n">
        <v>0</v>
      </c>
      <c r="G24" s="92" t="n">
        <v>27.48</v>
      </c>
      <c r="H24" s="50" t="inlineStr">
        <is>
          <t>Amazon Ads Francia/Italia; reverse charge estimado en modelo 303</t>
        </is>
      </c>
    </row>
    <row r="25">
      <c r="A25" s="50" t="inlineStr">
        <is>
          <t>ISP estimado servicios intracomunitarios</t>
        </is>
      </c>
      <c r="B25" s="50" t="n"/>
      <c r="C25" s="50" t="n"/>
      <c r="D25" s="50" t="n"/>
      <c r="E25" s="92" t="n"/>
      <c r="F25" s="92" t="n">
        <v>5.77</v>
      </c>
      <c r="G25" s="92" t="n"/>
      <c r="H25" s="50" t="inlineStr">
        <is>
          <t>IVA devengado/deducible estimado al 21% si procede</t>
        </is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6.13000106811523" customWidth="1" style="81" min="1" max="1"/>
    <col width="9.380000114440918" customWidth="1" style="81" min="2" max="2"/>
    <col width="25.1299991607666" customWidth="1" style="81" min="3" max="3"/>
    <col width="24.75" customWidth="1" style="81" min="4" max="4"/>
    <col width="7.630000114440918" customWidth="1" style="81" min="5" max="5"/>
    <col width="11.38000011444092" customWidth="1" style="81" min="6" max="6"/>
    <col width="7.75" customWidth="1" style="81" min="7" max="7"/>
    <col width="54.25" customWidth="1" style="81" min="8" max="8"/>
  </cols>
  <sheetData>
    <row r="1">
      <c r="A1" s="118" t="inlineStr">
        <is>
          <t>Resumen de documentos añadidos al cálculo - Ana Belén Feijoo - 2T 2026</t>
        </is>
      </c>
      <c r="B1" s="24" t="n"/>
      <c r="C1" s="24" t="n"/>
      <c r="D1" s="24" t="n"/>
      <c r="E1" s="24" t="n"/>
      <c r="F1" s="24" t="n"/>
      <c r="G1" s="24" t="n"/>
      <c r="H1" s="24" t="n"/>
    </row>
    <row r="3">
      <c r="A3" s="111" t="inlineStr">
        <is>
          <t>Nº</t>
        </is>
      </c>
      <c r="B3" s="111" t="inlineStr">
        <is>
          <t>Fecha</t>
        </is>
      </c>
      <c r="C3" s="111" t="inlineStr">
        <is>
          <t>Documento</t>
        </is>
      </c>
      <c r="D3" s="111" t="inlineStr">
        <is>
          <t>Proveedor</t>
        </is>
      </c>
      <c r="E3" s="111" t="inlineStr">
        <is>
          <t>Base EUR</t>
        </is>
      </c>
      <c r="F3" s="111" t="inlineStr">
        <is>
          <t>IVA EUR</t>
        </is>
      </c>
      <c r="G3" s="111" t="inlineStr">
        <is>
          <t>Total EUR</t>
        </is>
      </c>
      <c r="H3" s="111" t="inlineStr">
        <is>
          <t>Tratamiento</t>
        </is>
      </c>
    </row>
    <row r="4">
      <c r="A4" t="n">
        <v>81</v>
      </c>
      <c r="B4" s="116" t="n">
        <v>46183</v>
      </c>
      <c r="C4" t="inlineStr">
        <is>
          <t>WB/1368</t>
        </is>
      </c>
      <c r="D4" t="inlineStr">
        <is>
          <t>RICARDO TERÁN, S.L.</t>
        </is>
      </c>
      <c r="E4" s="90" t="n">
        <v>64.64</v>
      </c>
      <c r="F4" s="90" t="n">
        <v>7.67</v>
      </c>
      <c r="G4" s="90" t="n">
        <v>72.31</v>
      </c>
      <c r="H4" t="inlineStr">
        <is>
          <t>Factura mixta: 10% mercancía y 21% portes</t>
        </is>
      </c>
    </row>
    <row r="5">
      <c r="A5" t="n">
        <v>82</v>
      </c>
      <c r="B5" s="116" t="n">
        <v>46196</v>
      </c>
      <c r="C5" t="inlineStr">
        <is>
          <t>WB/1385</t>
        </is>
      </c>
      <c r="D5" t="inlineStr">
        <is>
          <t>RICARDO TERÁN, S.L.</t>
        </is>
      </c>
      <c r="E5" s="90" t="n">
        <v>71.45999999999999</v>
      </c>
      <c r="F5" s="90" t="n">
        <v>8.359999999999999</v>
      </c>
      <c r="G5" s="90" t="n">
        <v>79.81999999999999</v>
      </c>
      <c r="H5" t="inlineStr">
        <is>
          <t>Factura mixta: 10% mercancía y 21% portes</t>
        </is>
      </c>
    </row>
    <row r="6">
      <c r="A6" t="n">
        <v>83</v>
      </c>
      <c r="B6" s="116" t="n">
        <v>46118</v>
      </c>
      <c r="C6" t="inlineStr">
        <is>
          <t>BBVA PLAN ESTARSEGURO ABRIL</t>
        </is>
      </c>
      <c r="D6" t="inlineStr">
        <is>
          <t>BBVA / Plan EstarSeguro</t>
        </is>
      </c>
      <c r="E6" s="90" t="n">
        <v>42.46</v>
      </c>
      <c r="F6" s="90" t="n">
        <v>0</v>
      </c>
      <c r="G6" s="90" t="n">
        <v>42.46</v>
      </c>
      <c r="H6" t="inlineStr">
        <is>
          <t>Seguro/préstamo sin IVA, pendiente deducibilidad</t>
        </is>
      </c>
    </row>
    <row r="7">
      <c r="A7" t="n">
        <v>84</v>
      </c>
      <c r="B7" s="116" t="n">
        <v>46148</v>
      </c>
      <c r="C7" t="inlineStr">
        <is>
          <t>BBVA PLAN ESTARSEGURO MAYO</t>
        </is>
      </c>
      <c r="D7" t="inlineStr">
        <is>
          <t>BBVA / Plan EstarSeguro</t>
        </is>
      </c>
      <c r="E7" s="90" t="n">
        <v>42.46</v>
      </c>
      <c r="F7" s="90" t="n">
        <v>0</v>
      </c>
      <c r="G7" s="90" t="n">
        <v>42.46</v>
      </c>
      <c r="H7" t="inlineStr">
        <is>
          <t>Seguro/préstamo sin IVA, pendiente deducibilidad</t>
        </is>
      </c>
    </row>
    <row r="8">
      <c r="A8" t="n">
        <v>85</v>
      </c>
      <c r="B8" s="116" t="n">
        <v>46177</v>
      </c>
      <c r="C8" t="inlineStr">
        <is>
          <t>BBVA PLAN ESTARSEGURO JUNIO</t>
        </is>
      </c>
      <c r="D8" t="inlineStr">
        <is>
          <t>BBVA / Plan EstarSeguro</t>
        </is>
      </c>
      <c r="E8" s="90" t="n">
        <v>42.41</v>
      </c>
      <c r="F8" s="90" t="n">
        <v>0</v>
      </c>
      <c r="G8" s="90" t="n">
        <v>42.41</v>
      </c>
      <c r="H8" t="inlineStr">
        <is>
          <t>Seguro/préstamo sin IVA, pendiente deducibilidad</t>
        </is>
      </c>
    </row>
    <row r="9">
      <c r="A9" t="n">
        <v>86</v>
      </c>
      <c r="B9" s="116" t="n">
        <v>46173</v>
      </c>
      <c r="C9" t="inlineStr">
        <is>
          <t>PQAPRKNC-2026-05</t>
        </is>
      </c>
      <c r="D9" t="inlineStr">
        <is>
          <t>Stripe Payments Europe, Limited</t>
        </is>
      </c>
      <c r="E9" s="90" t="n">
        <v>1.01</v>
      </c>
      <c r="F9" s="90" t="n">
        <v>0</v>
      </c>
      <c r="G9" s="90" t="n">
        <v>1.01</v>
      </c>
      <c r="H9" t="inlineStr">
        <is>
          <t>Servicio intracomunitario; ISP estimada 21%</t>
        </is>
      </c>
    </row>
    <row r="10">
      <c r="A10" t="n">
        <v>87</v>
      </c>
      <c r="B10" s="116" t="n">
        <v>46178</v>
      </c>
      <c r="C10" t="inlineStr">
        <is>
          <t>8489491A-0018</t>
        </is>
      </c>
      <c r="D10" t="inlineStr">
        <is>
          <t>MENTORING AMZ GROUP LLC</t>
        </is>
      </c>
      <c r="E10" s="90" t="n">
        <v>25</v>
      </c>
      <c r="F10" s="90" t="n">
        <v>0</v>
      </c>
      <c r="G10" s="90" t="n">
        <v>25</v>
      </c>
      <c r="H10" t="inlineStr">
        <is>
          <t>Servicio no UE; ISP pendiente de revisión</t>
        </is>
      </c>
    </row>
    <row r="11">
      <c r="A11" t="n">
        <v>88</v>
      </c>
      <c r="B11" s="116" t="n">
        <v>46122</v>
      </c>
      <c r="C11" t="inlineStr">
        <is>
          <t>FTRWE 125SEC426/35</t>
        </is>
      </c>
      <c r="D11" t="inlineStr">
        <is>
          <t>VIVEIROS CULTIFLOR</t>
        </is>
      </c>
      <c r="E11" s="90" t="n">
        <v>33.91</v>
      </c>
      <c r="F11" s="90" t="n">
        <v>0</v>
      </c>
      <c r="G11" s="90" t="n">
        <v>33.91</v>
      </c>
      <c r="H11" t="inlineStr">
        <is>
          <t>Adquisición intracomunitaria bienes; ISP estimada</t>
        </is>
      </c>
    </row>
    <row r="12">
      <c r="A12" t="n">
        <v>89</v>
      </c>
      <c r="B12" s="116" t="n">
        <v>46190</v>
      </c>
      <c r="C12" t="inlineStr">
        <is>
          <t>FTRWE 125SEC426/71</t>
        </is>
      </c>
      <c r="D12" t="inlineStr">
        <is>
          <t>VIVEIROS CULTIFLOR</t>
        </is>
      </c>
      <c r="E12" s="90" t="n">
        <v>77.72</v>
      </c>
      <c r="F12" s="90" t="n">
        <v>0</v>
      </c>
      <c r="G12" s="90" t="n">
        <v>77.72</v>
      </c>
      <c r="H12" t="inlineStr">
        <is>
          <t>Adquisición intracomunitaria bienes; añadida una sola vez por duplicado</t>
        </is>
      </c>
    </row>
    <row r="13">
      <c r="E13" s="90" t="n"/>
      <c r="F13" s="90" t="n"/>
      <c r="G13" s="90" t="n"/>
    </row>
    <row r="14">
      <c r="A14" s="111" t="inlineStr">
        <is>
          <t>Totales añadidos</t>
        </is>
      </c>
      <c r="B14" s="111" t="n"/>
      <c r="C14" s="111" t="n"/>
      <c r="D14" s="111" t="n"/>
      <c r="E14" s="119" t="inlineStr">
        <is>
          <t>Base EUR</t>
        </is>
      </c>
      <c r="F14" s="119" t="inlineStr">
        <is>
          <t>IVA soportado</t>
        </is>
      </c>
      <c r="G14" s="119" t="inlineStr">
        <is>
          <t>Total EUR</t>
        </is>
      </c>
      <c r="H14" s="111" t="inlineStr">
        <is>
          <t>Observaciones</t>
        </is>
      </c>
    </row>
    <row r="15">
      <c r="A15" t="inlineStr">
        <is>
          <t>Nacional 21%</t>
        </is>
      </c>
      <c r="E15" s="90" t="n">
        <v>22</v>
      </c>
      <c r="F15" s="90" t="n">
        <v>4.62</v>
      </c>
      <c r="G15" s="90" t="n">
        <v>26.62</v>
      </c>
      <c r="H15" t="inlineStr">
        <is>
          <t>Portes Ricardo Terán al 21%</t>
        </is>
      </c>
    </row>
    <row r="16">
      <c r="A16" t="inlineStr">
        <is>
          <t>Nacional 10%</t>
        </is>
      </c>
      <c r="E16" s="90" t="n">
        <v>114.1</v>
      </c>
      <c r="F16" s="90" t="n">
        <v>11.41</v>
      </c>
      <c r="G16" s="90" t="n">
        <v>125.51</v>
      </c>
      <c r="H16" t="inlineStr">
        <is>
          <t>Mercancía Ricardo Terán al 10%</t>
        </is>
      </c>
    </row>
    <row r="17">
      <c r="A17" t="inlineStr">
        <is>
          <t>Sin IVA / seguros</t>
        </is>
      </c>
      <c r="E17" s="90" t="n">
        <v>127.33</v>
      </c>
      <c r="F17" s="90" t="n">
        <v>0</v>
      </c>
      <c r="G17" s="90" t="n">
        <v>127.33</v>
      </c>
      <c r="H17" t="inlineStr">
        <is>
          <t>Seguros préstamo; revisar deducibilidad</t>
        </is>
      </c>
    </row>
    <row r="18">
      <c r="A18" t="inlineStr">
        <is>
          <t>Intracomunitarios bienes</t>
        </is>
      </c>
      <c r="E18" s="90" t="n">
        <v>111.63</v>
      </c>
      <c r="F18" s="90" t="n">
        <v>0</v>
      </c>
      <c r="G18" s="90" t="n">
        <v>111.63</v>
      </c>
      <c r="H18" t="inlineStr">
        <is>
          <t>Viveiros Cultiflor; ISP estimada 23,44 € al 21%</t>
        </is>
      </c>
    </row>
    <row r="19">
      <c r="A19" t="inlineStr">
        <is>
          <t>Servicios UE/no UE</t>
        </is>
      </c>
      <c r="E19" s="90" t="n">
        <v>26.01</v>
      </c>
      <c r="F19" s="90" t="n">
        <v>0</v>
      </c>
      <c r="G19" s="90" t="n">
        <v>26.01</v>
      </c>
      <c r="H19" t="inlineStr">
        <is>
          <t>Stripe Irlanda y TPP EE.UU.; ISP estimada 5,46 €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2026-07-07T21:39:42Z</dcterms:created>
  <dcterms:modified xsi:type="dcterms:W3CDTF">2026-07-13T06:26:53Z</dcterms:modified>
</cp:coreProperties>
</file>