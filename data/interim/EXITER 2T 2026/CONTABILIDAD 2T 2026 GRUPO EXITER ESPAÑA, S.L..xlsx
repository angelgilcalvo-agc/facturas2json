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oaquinph/Desktop/"/>
    </mc:Choice>
  </mc:AlternateContent>
  <xr:revisionPtr revIDLastSave="0" documentId="8_{A9B96A48-55E2-924C-BDF6-83FD76EEFA72}" xr6:coauthVersionLast="36" xr6:coauthVersionMax="36" xr10:uidLastSave="{00000000-0000-0000-0000-000000000000}"/>
  <bookViews>
    <workbookView xWindow="860" yWindow="920" windowWidth="27640" windowHeight="15720" activeTab="1" xr2:uid="{2B2463A6-43CD-C346-99B2-C1F31D3659D2}"/>
  </bookViews>
  <sheets>
    <sheet name="FACTURAS EMITIDAS" sheetId="2" r:id="rId1"/>
    <sheet name="FACTURAS RECIBIDA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2" l="1"/>
  <c r="G15" i="2"/>
  <c r="E15" i="2"/>
</calcChain>
</file>

<file path=xl/sharedStrings.xml><?xml version="1.0" encoding="utf-8"?>
<sst xmlns="http://schemas.openxmlformats.org/spreadsheetml/2006/main" count="152" uniqueCount="113">
  <si>
    <t>FECHA</t>
  </si>
  <si>
    <t>N.º ORDEN</t>
  </si>
  <si>
    <t>PROVEEDOR</t>
  </si>
  <si>
    <t>NIF</t>
  </si>
  <si>
    <t>GASTOS SIN IVA</t>
  </si>
  <si>
    <t>BASE IMPONIBLE</t>
  </si>
  <si>
    <t>IVA SPORTADO</t>
  </si>
  <si>
    <t>IMPORTE IVA</t>
  </si>
  <si>
    <t>TOTAL FACTURA</t>
  </si>
  <si>
    <t>2T</t>
  </si>
  <si>
    <t>F0426007</t>
  </si>
  <si>
    <t>MARÍA JOSEFA GONZÁLEZ FERNÁNDEZ (sexto pago piso Diego Pisador)</t>
  </si>
  <si>
    <t>07837878-F</t>
  </si>
  <si>
    <t>PAGADA</t>
  </si>
  <si>
    <t>F0426008</t>
  </si>
  <si>
    <t>JUAN JOSÉ MATEOS MORENO (señal pago refoma Plaza Trujillo)</t>
  </si>
  <si>
    <t>07422547-X</t>
  </si>
  <si>
    <t>F0426009</t>
  </si>
  <si>
    <t>MARÍA JOSEFA GONZÁLEZ FERNÁNDEZ (séptimo pago final piso Diego Pisador)</t>
  </si>
  <si>
    <t>F0426010</t>
  </si>
  <si>
    <t>ANA MARÍA RIPOLL ALONSO (pago partidas pendientes Morille)</t>
  </si>
  <si>
    <t>07864207-R</t>
  </si>
  <si>
    <t>F0426011</t>
  </si>
  <si>
    <t>CP CALLE MELCHOR CANO, 9 (SALAMANCA) reparación goteras</t>
  </si>
  <si>
    <t>H37237591</t>
  </si>
  <si>
    <t>F0426012</t>
  </si>
  <si>
    <t>CALAMO CURRENTE, S.L. (señal pago reforma Diseminado Perales)</t>
  </si>
  <si>
    <t>B-56323140</t>
  </si>
  <si>
    <t>F0526013</t>
  </si>
  <si>
    <t>CP PLAZA ESCRITORES, 1-3 (SALAMANCA) sustitución luminarias</t>
  </si>
  <si>
    <t>H37062973</t>
  </si>
  <si>
    <t>F0526014</t>
  </si>
  <si>
    <t>FRANCISCO GUILLERMO GÓMEZ SÁNCHEZ (Colaboración Isabel Correia Cascón)</t>
  </si>
  <si>
    <t>76112551-P</t>
  </si>
  <si>
    <t>F0526015</t>
  </si>
  <si>
    <t>ANTONIO GARCÍA FRAILE (primer pago reforma cocina Plaza Escritores)</t>
  </si>
  <si>
    <t>07.835825-R</t>
  </si>
  <si>
    <t>F0526016</t>
  </si>
  <si>
    <t>MARIASOL MÉNTRIDA LÓPEZ DE LAS HAZAS (primer pago radiadores)</t>
  </si>
  <si>
    <t>15880550-Q</t>
  </si>
  <si>
    <t>F0626017</t>
  </si>
  <si>
    <t>MARIASOL MÉNTRIDA LÓPEZ DE LAS HAZAS (último pago radiadores)</t>
  </si>
  <si>
    <t>…………………………...</t>
  </si>
  <si>
    <t>………………………………….</t>
  </si>
  <si>
    <t>…………….…………….</t>
  </si>
  <si>
    <t>CLIENTE</t>
  </si>
  <si>
    <t>IVA REPERCUTIDO</t>
  </si>
  <si>
    <t>RETENCIÓN APLICADA</t>
  </si>
  <si>
    <t>ESTADO</t>
  </si>
  <si>
    <t>ABRIL</t>
  </si>
  <si>
    <t>IDEALISTA, S.A.U. (portal inmobiliario)</t>
  </si>
  <si>
    <t>A-82505660</t>
  </si>
  <si>
    <t>BRICOLAJE BRICOMAN, S.L.U. OBRAMAT (yeso efectivo Plaza Trujillo Jesús)</t>
  </si>
  <si>
    <t>B-84406289</t>
  </si>
  <si>
    <t>PAGADO EN EFECTIVO</t>
  </si>
  <si>
    <t>LUIS HERNÁN MAIGUA YÁÑEZ -MULTISERVICIOS DJM- (reparación gotera CP Melchor Cano)</t>
  </si>
  <si>
    <t>71060584Z</t>
  </si>
  <si>
    <t>BRICOLAJE BRICOMAN, S.L.U. OBRAMAT (tubos extracción Plaza Trujillo Jesús)</t>
  </si>
  <si>
    <t>(23,69 -8,79)   (4,97-1,84)    (28,66-10,63)    DEVOLUCIÓN</t>
  </si>
  <si>
    <t>BRICOLAJE BRICOMAN, S.L.U. OBRAMAT ( Plaza Trujillo Jesús)</t>
  </si>
  <si>
    <t>MÓNICA SÁNCHEZ BARBERO EIMARSAN (pago final ventanas Plaza Trujillor)</t>
  </si>
  <si>
    <t>70866824-Y</t>
  </si>
  <si>
    <t>JOSÉ JOAQUÍN PELEGRÍN HERNANZ (abogado)</t>
  </si>
  <si>
    <t>52411407-L</t>
  </si>
  <si>
    <t>MAYO</t>
  </si>
  <si>
    <t>HIJOS DE ISAAC LÓPEZ, S.L. (sustitución tirador puerta local Pisador)</t>
  </si>
  <si>
    <t>B37324753</t>
  </si>
  <si>
    <t>HIJOS DE ISAAC LÓPEZ, S.L. (sustitución bombín Miranda de Azán)</t>
  </si>
  <si>
    <t>ARCAIN GLOBAL, S.L. -MUEBLES BOOM- (colchón Joaquín)</t>
  </si>
  <si>
    <t>B-47596861</t>
  </si>
  <si>
    <t>LEROY MERLIN ESPAÑA, S.L.U. (suelo maninado y aislante Plaza Trujillo)</t>
  </si>
  <si>
    <t>B-84818442</t>
  </si>
  <si>
    <t>(858,18-105,17)   (180,22-22,09)   (1038,40-127,26)   DEVOLUCIÓN</t>
  </si>
  <si>
    <t>FACTURA PAGO ANTICIPADO, FACTURA DESCRIPCIÓN</t>
  </si>
  <si>
    <t>BRICOLAJE BRICOMAN, S.L.U. OBRAMAT (yeso radiadores Italia Jesús)</t>
  </si>
  <si>
    <t>BRICOLAJE BRICOMAN, S.L.U. OBRAMAT (materiales radiadores Italia Jesús)</t>
  </si>
  <si>
    <t>MARÍA LUISA HERNÁNDEZ RIVAS SAMA (primer pago puerta entrada Comuneros)</t>
  </si>
  <si>
    <t>07955157-D</t>
  </si>
  <si>
    <t>JOSÉ RAÚL SÁNCHEZ SÁNCHEZ (fontanería radiadores avda. Italia)</t>
  </si>
  <si>
    <t>52413636-V</t>
  </si>
  <si>
    <t>JUNIO</t>
  </si>
  <si>
    <t>AXA SEGUROS GENERALES (seguro RC empresa)</t>
  </si>
  <si>
    <t>A60917978</t>
  </si>
  <si>
    <t>REPSOL SOLUCIONES ENERGÉTICAS, S.A. (combustible Rubén)</t>
  </si>
  <si>
    <t>A-80298839</t>
  </si>
  <si>
    <t>LEROY MERLIN ESPAÑA, S.L.U. (pintura Joaquín)</t>
  </si>
  <si>
    <t>SERGIO CURTO RODERO (pintura radiadores avda. Italia)</t>
  </si>
  <si>
    <t>70876574-G</t>
  </si>
  <si>
    <t>LEROY MERLIN ESPAÑA, S.L.U. (terraza Joaquín)</t>
  </si>
  <si>
    <t>LEROY MERLIN ESPAÑA, S.L.U. (luz terraza Joaquín)</t>
  </si>
  <si>
    <t>NOCTALIA, S.L.U. (colchón y canapé Joaquín)</t>
  </si>
  <si>
    <t>B-83148486</t>
  </si>
  <si>
    <t>BRICOLAJE BRICOMAN, S.L.U. OBRAMAT (mortero avda. Comuneros Jesús)</t>
  </si>
  <si>
    <t>LUIS HERNÁN MAIGUA YÁÑEZ -MULTISERVICIOS DJM- (trabajos Plaza Trujillo)</t>
  </si>
  <si>
    <t>BRICOLAJE BRICOMAN, S.L.U. OBRAMAT (yeso avda. Comuneros Jesús)</t>
  </si>
  <si>
    <t>JOSÉ ÁNGEL GONZÁLEZ CABRERA (pladur Trujillo y Comuneros)</t>
  </si>
  <si>
    <t>07846906-L</t>
  </si>
  <si>
    <t>CLAUDIO ROGERIO SILVA YKUNO (carpintero Trujillo)</t>
  </si>
  <si>
    <t>Y-5850196-E</t>
  </si>
  <si>
    <t>MARÍA LUISA HERNÁNDEZ RIVAS SAMA (pago final puertas Plaza Trujillo y 4 rodapie Escri)</t>
  </si>
  <si>
    <t>CENTROLED, S.L.U. (materiales electricidad Comuneros)</t>
  </si>
  <si>
    <t>B56875339</t>
  </si>
  <si>
    <t>JOSÉ RAÚL SÁNCHEZ SÁNCHEZ (fontanería Trujillo)</t>
  </si>
  <si>
    <t>JOSÉ RAÚL SÁNCHEZ SÁNCHEZ (fontanería Comuneros)</t>
  </si>
  <si>
    <t>…………………………..</t>
  </si>
  <si>
    <t>………………………….</t>
  </si>
  <si>
    <t>………………………………..</t>
  </si>
  <si>
    <t>……………………………</t>
  </si>
  <si>
    <t>……………………………..</t>
  </si>
  <si>
    <t>TOTAL</t>
  </si>
  <si>
    <t>descontando RETENCIONES</t>
  </si>
  <si>
    <t>Descontando DEVOLUCIÓN</t>
  </si>
  <si>
    <t>descontanto 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</si>
</sst>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4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6" fontId="2" fillId="0" borderId="0" xfId="0" applyNumberFormat="1" applyFont="1"/>
    <xf numFmtId="0" fontId="2" fillId="0" borderId="0" xfId="0" applyFont="1"/>
    <xf numFmtId="0" fontId="0" fillId="0" borderId="0" xfId="0" applyFill="1"/>
    <xf numFmtId="14" fontId="0" fillId="0" borderId="0" xfId="0" applyNumberFormat="1" applyFill="1"/>
    <xf numFmtId="9" fontId="0" fillId="0" borderId="0" xfId="0" applyNumberFormat="1"/>
    <xf numFmtId="0" fontId="2" fillId="4" borderId="0" xfId="0" applyFont="1" applyFill="1" applyBorder="1"/>
    <xf numFmtId="14" fontId="0" fillId="0" borderId="0" xfId="0" applyNumberFormat="1"/>
    <xf numFmtId="4" fontId="0" fillId="0" borderId="0" xfId="0" applyNumberFormat="1"/>
    <xf numFmtId="0" fontId="0" fillId="0" borderId="0" xfId="0" applyFill="1" applyBorder="1"/>
    <xf numFmtId="9" fontId="0" fillId="5" borderId="0" xfId="0" applyNumberFormat="1" applyFill="1"/>
    <xf numFmtId="0" fontId="0" fillId="0" borderId="0" xfId="0" applyAlignment="1">
      <alignment horizontal="left"/>
    </xf>
    <xf numFmtId="3" fontId="0" fillId="0" borderId="0" xfId="0" applyNumberFormat="1" applyFill="1" applyBorder="1" applyAlignment="1">
      <alignment horizontal="left"/>
    </xf>
    <xf numFmtId="4" fontId="0" fillId="0" borderId="0" xfId="0" applyNumberFormat="1" applyFill="1" applyBorder="1"/>
    <xf numFmtId="9" fontId="0" fillId="0" borderId="0" xfId="0" applyNumberFormat="1" applyFill="1" applyBorder="1" applyAlignment="1">
      <alignment horizontal="right"/>
    </xf>
    <xf numFmtId="9" fontId="2" fillId="0" borderId="0" xfId="0" applyNumberFormat="1" applyFont="1" applyAlignment="1">
      <alignment horizontal="right"/>
    </xf>
    <xf numFmtId="8" fontId="2" fillId="0" borderId="0" xfId="0" applyNumberFormat="1" applyFont="1"/>
    <xf numFmtId="0" fontId="2" fillId="0" borderId="0" xfId="0" applyFont="1" applyFill="1" applyBorder="1" applyAlignment="1">
      <alignment horizontal="right"/>
    </xf>
    <xf numFmtId="0" fontId="2" fillId="6" borderId="0" xfId="0" applyFont="1" applyFill="1" applyAlignment="1">
      <alignment horizontal="center"/>
    </xf>
    <xf numFmtId="9" fontId="0" fillId="0" borderId="0" xfId="0" applyNumberFormat="1" applyFill="1"/>
    <xf numFmtId="0" fontId="0" fillId="0" borderId="0" xfId="0" applyAlignment="1">
      <alignment horizontal="right"/>
    </xf>
    <xf numFmtId="9" fontId="0" fillId="7" borderId="0" xfId="0" applyNumberFormat="1" applyFill="1"/>
    <xf numFmtId="0" fontId="3" fillId="0" borderId="0" xfId="0" applyFont="1" applyFill="1"/>
    <xf numFmtId="0" fontId="1" fillId="0" borderId="0" xfId="0" applyFont="1" applyFill="1"/>
    <xf numFmtId="0" fontId="2" fillId="8" borderId="0" xfId="0" applyFont="1" applyFill="1" applyAlignment="1">
      <alignment horizontal="center"/>
    </xf>
    <xf numFmtId="0" fontId="2" fillId="3" borderId="2" xfId="0" applyFont="1" applyFill="1" applyBorder="1"/>
    <xf numFmtId="4" fontId="2" fillId="3" borderId="2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CFDD-8CDC-DE41-861B-56EA4C5B5A32}">
  <dimension ref="A1:I15"/>
  <sheetViews>
    <sheetView workbookViewId="0">
      <selection activeCell="C27" sqref="C27"/>
    </sheetView>
  </sheetViews>
  <sheetFormatPr baseColWidth="10" defaultRowHeight="16"/>
  <cols>
    <col min="3" max="3" width="67.33203125" customWidth="1"/>
    <col min="5" max="5" width="18.6640625" customWidth="1"/>
    <col min="6" max="6" width="16.5" customWidth="1"/>
    <col min="7" max="7" width="13.33203125" customWidth="1"/>
    <col min="8" max="8" width="16" customWidth="1"/>
  </cols>
  <sheetData>
    <row r="1" spans="1:9" ht="17" thickBot="1">
      <c r="A1" s="1" t="s">
        <v>0</v>
      </c>
      <c r="B1" s="1" t="s">
        <v>1</v>
      </c>
      <c r="C1" s="1" t="s">
        <v>45</v>
      </c>
      <c r="D1" s="1" t="s">
        <v>3</v>
      </c>
      <c r="E1" s="1" t="s">
        <v>5</v>
      </c>
      <c r="F1" s="1" t="s">
        <v>46</v>
      </c>
      <c r="G1" s="1" t="s">
        <v>47</v>
      </c>
      <c r="H1" s="1" t="s">
        <v>8</v>
      </c>
      <c r="I1" s="1" t="s">
        <v>48</v>
      </c>
    </row>
    <row r="2" spans="1:9" ht="17" thickBot="1">
      <c r="A2" s="2" t="s">
        <v>9</v>
      </c>
      <c r="E2" s="3"/>
      <c r="G2" s="3"/>
      <c r="H2" s="4"/>
      <c r="I2" s="5"/>
    </row>
    <row r="3" spans="1:9">
      <c r="A3" s="6">
        <v>46116</v>
      </c>
      <c r="B3" s="5" t="s">
        <v>10</v>
      </c>
      <c r="C3" t="s">
        <v>11</v>
      </c>
      <c r="D3" t="s">
        <v>12</v>
      </c>
      <c r="E3">
        <v>7882.67</v>
      </c>
      <c r="F3" s="7">
        <v>0.21</v>
      </c>
      <c r="G3">
        <v>1655.36</v>
      </c>
      <c r="H3">
        <v>9538.0300000000007</v>
      </c>
      <c r="I3" s="8" t="s">
        <v>13</v>
      </c>
    </row>
    <row r="4" spans="1:9">
      <c r="A4" s="9">
        <v>46118</v>
      </c>
      <c r="B4" t="s">
        <v>14</v>
      </c>
      <c r="C4" t="s">
        <v>15</v>
      </c>
      <c r="D4" t="s">
        <v>16</v>
      </c>
      <c r="E4">
        <v>6399.43</v>
      </c>
      <c r="F4" s="7">
        <v>0.21</v>
      </c>
      <c r="G4">
        <v>1343.88</v>
      </c>
      <c r="H4" s="10">
        <v>7743.31</v>
      </c>
      <c r="I4" s="8" t="s">
        <v>13</v>
      </c>
    </row>
    <row r="5" spans="1:9">
      <c r="A5" s="9">
        <v>46120</v>
      </c>
      <c r="B5" t="s">
        <v>17</v>
      </c>
      <c r="C5" t="s">
        <v>18</v>
      </c>
      <c r="D5" t="s">
        <v>12</v>
      </c>
      <c r="E5">
        <v>7882.67</v>
      </c>
      <c r="F5" s="7">
        <v>0.21</v>
      </c>
      <c r="G5">
        <v>1655.36</v>
      </c>
      <c r="H5">
        <v>9538.0300000000007</v>
      </c>
      <c r="I5" s="8" t="s">
        <v>13</v>
      </c>
    </row>
    <row r="6" spans="1:9">
      <c r="A6" s="9">
        <v>46133</v>
      </c>
      <c r="B6" t="s">
        <v>19</v>
      </c>
      <c r="C6" t="s">
        <v>20</v>
      </c>
      <c r="D6" t="s">
        <v>21</v>
      </c>
      <c r="E6">
        <v>995.58</v>
      </c>
      <c r="F6" s="7">
        <v>0.21</v>
      </c>
      <c r="G6">
        <v>209.07</v>
      </c>
      <c r="H6">
        <v>1204.6500000000001</v>
      </c>
      <c r="I6" s="11"/>
    </row>
    <row r="7" spans="1:9">
      <c r="A7" s="9">
        <v>46139</v>
      </c>
      <c r="B7" t="s">
        <v>22</v>
      </c>
      <c r="C7" t="s">
        <v>23</v>
      </c>
      <c r="D7" t="s">
        <v>24</v>
      </c>
      <c r="E7">
        <v>1562.5</v>
      </c>
      <c r="F7" s="12">
        <v>0.1</v>
      </c>
      <c r="G7">
        <v>156.25</v>
      </c>
      <c r="H7">
        <v>1718.75</v>
      </c>
      <c r="I7" s="8" t="s">
        <v>13</v>
      </c>
    </row>
    <row r="8" spans="1:9">
      <c r="A8" s="9">
        <v>46139</v>
      </c>
      <c r="B8" t="s">
        <v>25</v>
      </c>
      <c r="C8" t="s">
        <v>26</v>
      </c>
      <c r="D8" s="13" t="s">
        <v>27</v>
      </c>
      <c r="E8">
        <v>2000</v>
      </c>
      <c r="F8" s="7">
        <v>0.21</v>
      </c>
      <c r="G8">
        <v>420</v>
      </c>
      <c r="H8">
        <v>2420</v>
      </c>
      <c r="I8" s="8" t="s">
        <v>13</v>
      </c>
    </row>
    <row r="9" spans="1:9">
      <c r="A9" s="9">
        <v>46148</v>
      </c>
      <c r="B9" t="s">
        <v>28</v>
      </c>
      <c r="C9" t="s">
        <v>29</v>
      </c>
      <c r="D9" t="s">
        <v>30</v>
      </c>
      <c r="E9">
        <v>78.5</v>
      </c>
      <c r="F9" s="12">
        <v>0.1</v>
      </c>
      <c r="G9">
        <v>7.85</v>
      </c>
      <c r="H9">
        <v>86.35</v>
      </c>
      <c r="I9" s="11"/>
    </row>
    <row r="10" spans="1:9">
      <c r="A10" s="9">
        <v>46148</v>
      </c>
      <c r="B10" t="s">
        <v>31</v>
      </c>
      <c r="C10" s="11" t="s">
        <v>32</v>
      </c>
      <c r="D10" s="14" t="s">
        <v>33</v>
      </c>
      <c r="E10" s="15">
        <v>496.65</v>
      </c>
      <c r="F10" s="16">
        <v>0.21</v>
      </c>
      <c r="G10" s="11">
        <v>104.3</v>
      </c>
      <c r="H10" s="15">
        <v>600.95000000000005</v>
      </c>
      <c r="I10" s="8" t="s">
        <v>13</v>
      </c>
    </row>
    <row r="11" spans="1:9">
      <c r="A11" s="9">
        <v>46155</v>
      </c>
      <c r="B11" t="s">
        <v>34</v>
      </c>
      <c r="C11" s="11" t="s">
        <v>35</v>
      </c>
      <c r="D11" t="s">
        <v>36</v>
      </c>
      <c r="E11">
        <v>2708.75</v>
      </c>
      <c r="F11" s="7">
        <v>0.21</v>
      </c>
      <c r="G11" s="11">
        <v>568.84</v>
      </c>
      <c r="H11" s="11">
        <v>3277.59</v>
      </c>
      <c r="I11" s="8" t="s">
        <v>13</v>
      </c>
    </row>
    <row r="12" spans="1:9">
      <c r="A12" s="6">
        <v>46167</v>
      </c>
      <c r="B12" s="5" t="s">
        <v>37</v>
      </c>
      <c r="C12" t="s">
        <v>38</v>
      </c>
      <c r="D12" t="s">
        <v>39</v>
      </c>
      <c r="E12">
        <v>1500</v>
      </c>
      <c r="F12" s="7">
        <v>0.21</v>
      </c>
      <c r="G12" s="11">
        <v>315</v>
      </c>
      <c r="H12" s="11">
        <v>1815</v>
      </c>
      <c r="I12" s="8" t="s">
        <v>13</v>
      </c>
    </row>
    <row r="13" spans="1:9">
      <c r="A13" s="9">
        <v>46182</v>
      </c>
      <c r="B13" s="5" t="s">
        <v>40</v>
      </c>
      <c r="C13" t="s">
        <v>41</v>
      </c>
      <c r="D13" t="s">
        <v>39</v>
      </c>
      <c r="E13">
        <v>395.37</v>
      </c>
      <c r="F13" s="7">
        <v>0.21</v>
      </c>
      <c r="G13" s="11">
        <v>83.03</v>
      </c>
      <c r="H13" s="11">
        <v>478.4</v>
      </c>
      <c r="I13" s="8" t="s">
        <v>13</v>
      </c>
    </row>
    <row r="14" spans="1:9">
      <c r="E14" s="3" t="s">
        <v>42</v>
      </c>
      <c r="F14" s="17"/>
      <c r="G14" s="3" t="s">
        <v>43</v>
      </c>
      <c r="H14" s="18" t="s">
        <v>44</v>
      </c>
    </row>
    <row r="15" spans="1:9">
      <c r="E15" s="4">
        <f>SUM(E3:E14)</f>
        <v>31902.120000000003</v>
      </c>
      <c r="F15" s="4"/>
      <c r="G15" s="4">
        <f>SUM(G3:G14)</f>
        <v>6518.94</v>
      </c>
      <c r="H15" s="4">
        <f>SUM(H3:H14)</f>
        <v>38421.060000000005</v>
      </c>
      <c r="I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7624-6067-5540-BA49-E208ADAFF5E8}">
  <dimension ref="A1:O47"/>
  <sheetViews>
    <sheetView tabSelected="1" zoomScale="65" workbookViewId="0">
      <selection activeCell="L27" sqref="L27"/>
    </sheetView>
  </sheetViews>
  <sheetFormatPr baseColWidth="10" defaultRowHeight="16"/>
  <cols>
    <col min="2" max="2" width="12.83203125" customWidth="1"/>
    <col min="3" max="3" width="75.5" customWidth="1"/>
    <col min="5" max="5" width="16.5" customWidth="1"/>
    <col min="6" max="6" width="16.33203125" customWidth="1"/>
    <col min="7" max="7" width="15.1640625" customWidth="1"/>
    <col min="8" max="8" width="22.83203125" customWidth="1"/>
    <col min="9" max="9" width="15.33203125" customWidth="1"/>
    <col min="10" max="10" width="56.5" customWidth="1"/>
  </cols>
  <sheetData>
    <row r="1" spans="1:14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ht="17" thickBot="1">
      <c r="A2" s="2" t="s">
        <v>9</v>
      </c>
      <c r="K2" s="19"/>
    </row>
    <row r="3" spans="1:14">
      <c r="A3" s="6"/>
      <c r="B3" s="20" t="s">
        <v>49</v>
      </c>
      <c r="C3" s="5"/>
      <c r="D3" s="5"/>
      <c r="E3" s="5"/>
      <c r="F3" s="5"/>
      <c r="G3" s="21"/>
      <c r="H3" s="5"/>
      <c r="I3" s="5"/>
      <c r="J3" s="5"/>
      <c r="K3" s="11"/>
    </row>
    <row r="4" spans="1:14">
      <c r="A4" s="6">
        <v>46115</v>
      </c>
      <c r="B4" s="5">
        <v>51</v>
      </c>
      <c r="C4" t="s">
        <v>50</v>
      </c>
      <c r="D4" t="s">
        <v>51</v>
      </c>
      <c r="E4" s="5"/>
      <c r="F4">
        <v>189.5</v>
      </c>
      <c r="G4" s="7">
        <v>0.21</v>
      </c>
      <c r="H4">
        <v>39.799999999999997</v>
      </c>
      <c r="I4">
        <v>229.3</v>
      </c>
      <c r="J4" s="5"/>
      <c r="K4" s="5"/>
    </row>
    <row r="5" spans="1:14">
      <c r="A5" s="9">
        <v>46128</v>
      </c>
      <c r="B5">
        <v>52</v>
      </c>
      <c r="C5" t="s">
        <v>52</v>
      </c>
      <c r="D5" s="5" t="s">
        <v>53</v>
      </c>
      <c r="F5">
        <v>8.8800000000000008</v>
      </c>
      <c r="G5" s="7">
        <v>0.21</v>
      </c>
      <c r="H5">
        <v>1.86</v>
      </c>
      <c r="I5">
        <v>10.74</v>
      </c>
      <c r="J5" s="33" t="s">
        <v>54</v>
      </c>
      <c r="K5" s="33"/>
    </row>
    <row r="6" spans="1:14">
      <c r="A6" s="9">
        <v>46129</v>
      </c>
      <c r="B6">
        <v>53</v>
      </c>
      <c r="C6" t="s">
        <v>55</v>
      </c>
      <c r="D6" s="5" t="s">
        <v>56</v>
      </c>
      <c r="F6">
        <v>1250</v>
      </c>
      <c r="G6" s="7">
        <v>0.21</v>
      </c>
      <c r="H6">
        <v>262.5</v>
      </c>
      <c r="I6">
        <v>1512.5</v>
      </c>
      <c r="K6" s="5"/>
    </row>
    <row r="7" spans="1:14">
      <c r="A7" s="9">
        <v>46142</v>
      </c>
      <c r="B7">
        <v>54</v>
      </c>
      <c r="C7" t="s">
        <v>57</v>
      </c>
      <c r="D7" s="5" t="s">
        <v>53</v>
      </c>
      <c r="F7" s="22">
        <v>14.9</v>
      </c>
      <c r="G7" s="7">
        <v>0.21</v>
      </c>
      <c r="H7" s="22">
        <v>3.13</v>
      </c>
      <c r="I7" s="22">
        <v>18.03</v>
      </c>
      <c r="J7" s="33" t="s">
        <v>58</v>
      </c>
      <c r="K7" s="33"/>
      <c r="L7" s="33"/>
      <c r="M7" s="33"/>
      <c r="N7" s="33"/>
    </row>
    <row r="8" spans="1:14">
      <c r="A8" s="6">
        <v>46142</v>
      </c>
      <c r="B8">
        <v>55</v>
      </c>
      <c r="C8" t="s">
        <v>59</v>
      </c>
      <c r="D8" s="5" t="s">
        <v>53</v>
      </c>
      <c r="E8" s="5"/>
      <c r="F8" s="5">
        <v>5.08</v>
      </c>
      <c r="G8" s="21">
        <v>0.21</v>
      </c>
      <c r="H8" s="5">
        <v>1.07</v>
      </c>
      <c r="I8" s="5">
        <v>6.15</v>
      </c>
      <c r="K8" s="5"/>
    </row>
    <row r="9" spans="1:14">
      <c r="A9" s="9">
        <v>46142</v>
      </c>
      <c r="B9">
        <v>56</v>
      </c>
      <c r="C9" s="11" t="s">
        <v>60</v>
      </c>
      <c r="D9" s="5" t="s">
        <v>61</v>
      </c>
      <c r="F9" s="5">
        <v>928.64</v>
      </c>
      <c r="G9" s="21">
        <v>0.21</v>
      </c>
      <c r="H9" s="5">
        <v>195.01</v>
      </c>
      <c r="I9" s="5">
        <v>1123.6500000000001</v>
      </c>
      <c r="J9" s="5"/>
      <c r="K9" s="5"/>
    </row>
    <row r="10" spans="1:14">
      <c r="A10" s="9">
        <v>46142</v>
      </c>
      <c r="B10">
        <v>57</v>
      </c>
      <c r="C10" s="11" t="s">
        <v>62</v>
      </c>
      <c r="D10" s="5" t="s">
        <v>63</v>
      </c>
      <c r="F10">
        <v>1200</v>
      </c>
      <c r="G10" s="7">
        <v>0.21</v>
      </c>
      <c r="H10">
        <v>252</v>
      </c>
      <c r="I10">
        <v>1272</v>
      </c>
      <c r="K10" s="5"/>
    </row>
    <row r="11" spans="1:14">
      <c r="A11" s="6"/>
      <c r="G11" s="23">
        <v>0.15</v>
      </c>
      <c r="H11">
        <v>180</v>
      </c>
      <c r="K11" s="5"/>
    </row>
    <row r="12" spans="1:14">
      <c r="A12" s="6"/>
      <c r="B12" s="20" t="s">
        <v>64</v>
      </c>
      <c r="K12" s="5"/>
    </row>
    <row r="13" spans="1:14">
      <c r="A13" s="6">
        <v>46145</v>
      </c>
      <c r="B13">
        <v>58</v>
      </c>
      <c r="C13" t="s">
        <v>50</v>
      </c>
      <c r="D13" t="s">
        <v>51</v>
      </c>
      <c r="E13" s="5"/>
      <c r="F13">
        <v>189.5</v>
      </c>
      <c r="G13" s="7">
        <v>0.21</v>
      </c>
      <c r="H13">
        <v>39.799999999999997</v>
      </c>
      <c r="I13">
        <v>229.3</v>
      </c>
      <c r="K13" s="5"/>
    </row>
    <row r="14" spans="1:14">
      <c r="A14" s="6">
        <v>46148</v>
      </c>
      <c r="B14">
        <v>59</v>
      </c>
      <c r="C14" t="s">
        <v>65</v>
      </c>
      <c r="D14" t="s">
        <v>66</v>
      </c>
      <c r="E14" s="5"/>
      <c r="F14" s="5">
        <v>96</v>
      </c>
      <c r="G14" s="21">
        <v>0.21</v>
      </c>
      <c r="H14" s="5">
        <v>20.16</v>
      </c>
      <c r="I14" s="5">
        <v>116.16</v>
      </c>
      <c r="K14" s="5"/>
    </row>
    <row r="15" spans="1:14">
      <c r="A15" s="9">
        <v>46148</v>
      </c>
      <c r="B15">
        <v>60</v>
      </c>
      <c r="C15" t="s">
        <v>67</v>
      </c>
      <c r="D15" t="s">
        <v>66</v>
      </c>
      <c r="F15" s="5">
        <v>88</v>
      </c>
      <c r="G15" s="21">
        <v>0.21</v>
      </c>
      <c r="H15" s="5">
        <v>18.48</v>
      </c>
      <c r="I15" s="5">
        <v>106.48</v>
      </c>
      <c r="J15" s="32"/>
      <c r="K15" s="5"/>
    </row>
    <row r="16" spans="1:14">
      <c r="A16" s="9">
        <v>46148</v>
      </c>
      <c r="B16">
        <v>61</v>
      </c>
      <c r="C16" t="s">
        <v>68</v>
      </c>
      <c r="D16" s="5" t="s">
        <v>69</v>
      </c>
      <c r="E16" s="5"/>
      <c r="F16" s="5">
        <v>51.24</v>
      </c>
      <c r="G16" s="21">
        <v>0.21</v>
      </c>
      <c r="H16" s="5">
        <v>10.76</v>
      </c>
      <c r="I16" s="5">
        <v>62</v>
      </c>
      <c r="J16" s="32"/>
      <c r="K16" s="5"/>
    </row>
    <row r="17" spans="1:15">
      <c r="A17" s="9">
        <v>46155</v>
      </c>
      <c r="B17">
        <v>62</v>
      </c>
      <c r="C17" s="11" t="s">
        <v>70</v>
      </c>
      <c r="D17" t="s">
        <v>71</v>
      </c>
      <c r="F17">
        <v>753.63</v>
      </c>
      <c r="G17" s="21">
        <v>0.21</v>
      </c>
      <c r="H17">
        <v>158.13</v>
      </c>
      <c r="I17">
        <v>911.14</v>
      </c>
      <c r="J17" s="33" t="s">
        <v>72</v>
      </c>
      <c r="K17" s="33" t="s">
        <v>73</v>
      </c>
      <c r="L17" s="33"/>
      <c r="M17" s="33"/>
      <c r="N17" s="33"/>
      <c r="O17" s="34"/>
    </row>
    <row r="18" spans="1:15">
      <c r="A18" s="9">
        <v>46168</v>
      </c>
      <c r="B18" s="5">
        <v>63</v>
      </c>
      <c r="C18" t="s">
        <v>74</v>
      </c>
      <c r="D18" s="5" t="s">
        <v>53</v>
      </c>
      <c r="F18">
        <v>3.12</v>
      </c>
      <c r="G18" s="21">
        <v>0.21</v>
      </c>
      <c r="H18">
        <v>0.66</v>
      </c>
      <c r="I18">
        <v>3.78</v>
      </c>
    </row>
    <row r="19" spans="1:15">
      <c r="A19" s="6">
        <v>46168</v>
      </c>
      <c r="B19" s="5">
        <v>64</v>
      </c>
      <c r="C19" t="s">
        <v>75</v>
      </c>
      <c r="D19" s="5" t="s">
        <v>53</v>
      </c>
      <c r="F19">
        <v>13.67</v>
      </c>
      <c r="G19" s="21">
        <v>0.21</v>
      </c>
      <c r="H19">
        <v>2.87</v>
      </c>
      <c r="I19">
        <v>16.54</v>
      </c>
      <c r="J19" s="5"/>
    </row>
    <row r="20" spans="1:15">
      <c r="A20" s="9">
        <v>46170</v>
      </c>
      <c r="B20" s="5">
        <v>65</v>
      </c>
      <c r="C20" s="24" t="s">
        <v>76</v>
      </c>
      <c r="D20" s="5" t="s">
        <v>77</v>
      </c>
      <c r="F20">
        <v>1000</v>
      </c>
      <c r="G20" s="21">
        <v>0.21</v>
      </c>
      <c r="H20">
        <v>210</v>
      </c>
      <c r="I20">
        <v>1210</v>
      </c>
    </row>
    <row r="21" spans="1:15">
      <c r="A21" s="9">
        <v>46172</v>
      </c>
      <c r="B21" s="5">
        <v>66</v>
      </c>
      <c r="C21" s="11" t="s">
        <v>78</v>
      </c>
      <c r="D21" s="5" t="s">
        <v>79</v>
      </c>
      <c r="F21">
        <v>1297</v>
      </c>
      <c r="G21" s="21">
        <v>0.21</v>
      </c>
      <c r="H21">
        <v>272.37</v>
      </c>
      <c r="I21">
        <v>1569.37</v>
      </c>
    </row>
    <row r="22" spans="1:15">
      <c r="A22" s="9">
        <v>46173</v>
      </c>
      <c r="B22" s="5">
        <v>67</v>
      </c>
      <c r="C22" s="11" t="s">
        <v>62</v>
      </c>
      <c r="D22" s="5" t="s">
        <v>63</v>
      </c>
      <c r="F22">
        <v>1200</v>
      </c>
      <c r="G22" s="7">
        <v>0.21</v>
      </c>
      <c r="H22">
        <v>252</v>
      </c>
      <c r="I22">
        <v>1272</v>
      </c>
    </row>
    <row r="23" spans="1:15">
      <c r="G23" s="23">
        <v>0.15</v>
      </c>
      <c r="H23">
        <v>180</v>
      </c>
    </row>
    <row r="24" spans="1:15">
      <c r="B24" s="20" t="s">
        <v>80</v>
      </c>
    </row>
    <row r="25" spans="1:15">
      <c r="A25" s="9">
        <v>46176</v>
      </c>
      <c r="B25">
        <v>68</v>
      </c>
      <c r="C25" t="s">
        <v>50</v>
      </c>
      <c r="D25" t="s">
        <v>51</v>
      </c>
      <c r="F25">
        <v>189.5</v>
      </c>
      <c r="G25" s="7">
        <v>0.21</v>
      </c>
      <c r="H25">
        <v>39.799999999999997</v>
      </c>
      <c r="I25">
        <v>229.3</v>
      </c>
      <c r="J25" s="25"/>
    </row>
    <row r="26" spans="1:15">
      <c r="A26" s="9">
        <v>46176</v>
      </c>
      <c r="B26">
        <v>69</v>
      </c>
      <c r="C26" t="s">
        <v>81</v>
      </c>
      <c r="D26" t="s">
        <v>82</v>
      </c>
      <c r="E26">
        <v>470.45</v>
      </c>
      <c r="I26">
        <v>470.45</v>
      </c>
      <c r="J26" s="5"/>
    </row>
    <row r="27" spans="1:15">
      <c r="A27" s="9">
        <v>46177</v>
      </c>
      <c r="B27">
        <v>70</v>
      </c>
      <c r="C27" s="11" t="s">
        <v>83</v>
      </c>
      <c r="D27" s="5" t="s">
        <v>84</v>
      </c>
      <c r="F27">
        <v>30.71</v>
      </c>
      <c r="G27" s="7">
        <v>0.21</v>
      </c>
      <c r="H27">
        <v>3.07</v>
      </c>
      <c r="I27">
        <v>33.78</v>
      </c>
      <c r="J27" s="5"/>
    </row>
    <row r="28" spans="1:15">
      <c r="A28" s="9">
        <v>46182</v>
      </c>
      <c r="B28">
        <v>71</v>
      </c>
      <c r="C28" s="11" t="s">
        <v>85</v>
      </c>
      <c r="D28" t="s">
        <v>71</v>
      </c>
      <c r="F28">
        <v>15.47</v>
      </c>
      <c r="G28" s="7">
        <v>0.21</v>
      </c>
      <c r="H28">
        <v>3.25</v>
      </c>
      <c r="I28">
        <v>18.72</v>
      </c>
      <c r="J28" s="32"/>
      <c r="K28" s="5"/>
    </row>
    <row r="29" spans="1:15">
      <c r="A29" s="9">
        <v>46182</v>
      </c>
      <c r="B29">
        <v>72</v>
      </c>
      <c r="C29" s="11" t="s">
        <v>86</v>
      </c>
      <c r="D29" s="5" t="s">
        <v>87</v>
      </c>
      <c r="F29">
        <v>170</v>
      </c>
      <c r="G29" s="7">
        <v>0.21</v>
      </c>
      <c r="H29">
        <v>35.700000000000003</v>
      </c>
      <c r="I29">
        <v>205.7</v>
      </c>
      <c r="J29" s="5"/>
      <c r="K29" s="5"/>
    </row>
    <row r="30" spans="1:15">
      <c r="A30" s="9">
        <v>46183</v>
      </c>
      <c r="B30">
        <v>73</v>
      </c>
      <c r="C30" s="11" t="s">
        <v>88</v>
      </c>
      <c r="D30" t="s">
        <v>71</v>
      </c>
      <c r="F30">
        <v>45.57</v>
      </c>
      <c r="G30" s="7">
        <v>0.21</v>
      </c>
      <c r="H30">
        <v>9.57</v>
      </c>
      <c r="I30">
        <v>55.14</v>
      </c>
      <c r="J30" s="32"/>
      <c r="K30" s="5"/>
    </row>
    <row r="31" spans="1:15">
      <c r="A31" s="9">
        <v>46183</v>
      </c>
      <c r="B31">
        <v>74</v>
      </c>
      <c r="C31" s="11" t="s">
        <v>89</v>
      </c>
      <c r="D31" t="s">
        <v>71</v>
      </c>
      <c r="F31">
        <v>9.91</v>
      </c>
      <c r="G31" s="7">
        <v>0.21</v>
      </c>
      <c r="H31">
        <v>2.08</v>
      </c>
      <c r="I31">
        <v>11.99</v>
      </c>
      <c r="J31" s="32"/>
      <c r="K31" s="5"/>
    </row>
    <row r="32" spans="1:15">
      <c r="A32" s="9">
        <v>46190</v>
      </c>
      <c r="B32">
        <v>75</v>
      </c>
      <c r="C32" s="11" t="s">
        <v>90</v>
      </c>
      <c r="D32" t="s">
        <v>91</v>
      </c>
      <c r="F32">
        <v>972.73</v>
      </c>
      <c r="G32" s="7">
        <v>0.21</v>
      </c>
      <c r="H32">
        <v>204.27</v>
      </c>
      <c r="I32">
        <v>1177</v>
      </c>
      <c r="J32" s="32"/>
      <c r="K32" s="5"/>
    </row>
    <row r="33" spans="1:11">
      <c r="A33" s="9">
        <v>46191</v>
      </c>
      <c r="B33">
        <v>76</v>
      </c>
      <c r="C33" t="s">
        <v>92</v>
      </c>
      <c r="D33" s="5" t="s">
        <v>53</v>
      </c>
      <c r="F33">
        <v>21.72</v>
      </c>
      <c r="G33" s="7">
        <v>0.21</v>
      </c>
      <c r="H33">
        <v>4.5599999999999996</v>
      </c>
      <c r="I33">
        <v>26.28</v>
      </c>
      <c r="J33" s="5"/>
      <c r="K33" s="5"/>
    </row>
    <row r="34" spans="1:11">
      <c r="A34" s="9">
        <v>46196</v>
      </c>
      <c r="B34">
        <v>77</v>
      </c>
      <c r="C34" t="s">
        <v>93</v>
      </c>
      <c r="D34" s="5" t="s">
        <v>56</v>
      </c>
      <c r="F34">
        <v>2418.5</v>
      </c>
      <c r="G34" s="7">
        <v>0.21</v>
      </c>
      <c r="H34">
        <v>507.89</v>
      </c>
      <c r="I34">
        <v>2926.39</v>
      </c>
    </row>
    <row r="35" spans="1:11">
      <c r="A35" s="9">
        <v>46199</v>
      </c>
      <c r="B35">
        <v>78</v>
      </c>
      <c r="C35" t="s">
        <v>94</v>
      </c>
      <c r="D35" s="5" t="s">
        <v>53</v>
      </c>
      <c r="F35">
        <v>20.79</v>
      </c>
      <c r="G35" s="7">
        <v>0.21</v>
      </c>
      <c r="H35">
        <v>4.3600000000000003</v>
      </c>
      <c r="I35">
        <v>25.15</v>
      </c>
    </row>
    <row r="36" spans="1:11">
      <c r="A36" s="9">
        <v>46202</v>
      </c>
      <c r="B36">
        <v>79</v>
      </c>
      <c r="C36" s="11" t="s">
        <v>95</v>
      </c>
      <c r="D36" s="5" t="s">
        <v>96</v>
      </c>
      <c r="F36">
        <v>697.12</v>
      </c>
      <c r="G36" s="7">
        <v>0.21</v>
      </c>
      <c r="H36">
        <v>146.38999999999999</v>
      </c>
      <c r="I36">
        <v>843.51</v>
      </c>
    </row>
    <row r="37" spans="1:11">
      <c r="A37" s="9">
        <v>46202</v>
      </c>
      <c r="B37">
        <v>80</v>
      </c>
      <c r="C37" t="s">
        <v>97</v>
      </c>
      <c r="D37" s="5" t="s">
        <v>98</v>
      </c>
      <c r="F37">
        <v>707.5</v>
      </c>
      <c r="G37" s="7">
        <v>0.21</v>
      </c>
      <c r="H37">
        <v>148.57</v>
      </c>
      <c r="I37">
        <v>856.07</v>
      </c>
    </row>
    <row r="38" spans="1:11">
      <c r="A38" s="9">
        <v>46203</v>
      </c>
      <c r="B38">
        <v>81</v>
      </c>
      <c r="C38" s="24" t="s">
        <v>99</v>
      </c>
      <c r="D38" s="5" t="s">
        <v>77</v>
      </c>
      <c r="F38">
        <v>403.04</v>
      </c>
      <c r="G38" s="7">
        <v>0.21</v>
      </c>
      <c r="H38">
        <v>84.64</v>
      </c>
      <c r="I38">
        <v>487.68</v>
      </c>
    </row>
    <row r="39" spans="1:11">
      <c r="A39" s="9">
        <v>46203</v>
      </c>
      <c r="B39">
        <v>82</v>
      </c>
      <c r="C39" s="11" t="s">
        <v>100</v>
      </c>
      <c r="D39" s="5" t="s">
        <v>101</v>
      </c>
      <c r="F39">
        <v>792.1</v>
      </c>
      <c r="G39" s="7">
        <v>0.21</v>
      </c>
      <c r="H39">
        <v>166.34</v>
      </c>
      <c r="I39">
        <v>958.44</v>
      </c>
    </row>
    <row r="40" spans="1:11">
      <c r="A40" s="9">
        <v>46203</v>
      </c>
      <c r="B40">
        <v>83</v>
      </c>
      <c r="C40" s="11" t="s">
        <v>102</v>
      </c>
      <c r="D40" s="5" t="s">
        <v>79</v>
      </c>
      <c r="F40">
        <v>4052</v>
      </c>
      <c r="G40" s="7">
        <v>0.21</v>
      </c>
      <c r="H40">
        <v>850.92</v>
      </c>
      <c r="I40">
        <v>4902.92</v>
      </c>
    </row>
    <row r="41" spans="1:11">
      <c r="A41" s="9">
        <v>46203</v>
      </c>
      <c r="B41">
        <v>84</v>
      </c>
      <c r="C41" s="11" t="s">
        <v>103</v>
      </c>
      <c r="D41" s="5" t="s">
        <v>79</v>
      </c>
      <c r="F41">
        <v>1340</v>
      </c>
      <c r="G41" s="7">
        <v>0.21</v>
      </c>
      <c r="H41">
        <v>281.39999999999998</v>
      </c>
      <c r="I41">
        <v>1621.4</v>
      </c>
    </row>
    <row r="42" spans="1:11">
      <c r="A42" s="9">
        <v>46203</v>
      </c>
      <c r="B42">
        <v>85</v>
      </c>
      <c r="C42" s="11" t="s">
        <v>62</v>
      </c>
      <c r="D42" s="5" t="s">
        <v>63</v>
      </c>
      <c r="F42">
        <v>1200</v>
      </c>
      <c r="G42" s="7">
        <v>0.21</v>
      </c>
      <c r="H42">
        <v>252</v>
      </c>
      <c r="I42">
        <v>1272</v>
      </c>
    </row>
    <row r="43" spans="1:11">
      <c r="G43" s="23">
        <v>0.15</v>
      </c>
      <c r="H43">
        <v>180</v>
      </c>
    </row>
    <row r="44" spans="1:11">
      <c r="D44" t="s">
        <v>104</v>
      </c>
      <c r="E44" t="s">
        <v>105</v>
      </c>
      <c r="F44" t="s">
        <v>106</v>
      </c>
      <c r="G44" t="s">
        <v>104</v>
      </c>
      <c r="H44" t="s">
        <v>107</v>
      </c>
      <c r="I44" t="s">
        <v>108</v>
      </c>
    </row>
    <row r="45" spans="1:11">
      <c r="D45" s="26" t="s">
        <v>109</v>
      </c>
      <c r="E45" s="27">
        <v>470.45</v>
      </c>
      <c r="F45" s="28">
        <v>21375.82</v>
      </c>
      <c r="G45" s="29"/>
      <c r="H45" s="30">
        <v>4485.41</v>
      </c>
      <c r="I45" s="28">
        <v>25792.06</v>
      </c>
    </row>
    <row r="46" spans="1:11">
      <c r="E46" s="31"/>
      <c r="F46" s="31"/>
      <c r="H46" t="s">
        <v>110</v>
      </c>
      <c r="I46" t="s">
        <v>111</v>
      </c>
    </row>
    <row r="47" spans="1:11">
      <c r="H4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EMITIDAS</vt:lpstr>
      <vt:lpstr>FACTURAS RECIBIDAS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J.JOAQUÍN PH</dc:creator>
  <cp:lastModifiedBy>J.JOAQUÍN PH</cp:lastModifiedBy>
  <dcterms:created xsi:type="dcterms:W3CDTF">2026-07-13T10:04:41Z</dcterms:created>
  <dcterms:modified xsi:type="dcterms:W3CDTF">2026-07-13T10:12:17Z</dcterms:modified>
</cp:coreProperties>
</file>