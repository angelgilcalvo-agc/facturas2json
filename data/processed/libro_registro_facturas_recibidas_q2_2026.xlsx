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Tributario Q2 2026" sheetId="1" state="visible" r:id="rId1"/>
    <sheet name="Libro Facturas Recibidas Q2" sheetId="2" state="visible" r:id="rId2"/>
    <sheet name="Movimientos Tarjeta Compl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double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3" borderId="1" pivotButton="0" quotePrefix="0" xfId="0"/>
    <xf numFmtId="4" fontId="6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4" fontId="7" fillId="4" borderId="1" applyAlignment="1" pivotButton="0" quotePrefix="0" xfId="0">
      <alignment horizontal="right"/>
    </xf>
    <xf numFmtId="0" fontId="5" fillId="5" borderId="1" pivotButton="0" quotePrefix="0" xfId="0"/>
    <xf numFmtId="4" fontId="8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center"/>
    </xf>
    <xf numFmtId="0" fontId="0" fillId="0" borderId="2" pivotButton="0" quotePrefix="0" xfId="0"/>
    <xf numFmtId="0" fontId="6" fillId="0" borderId="0" applyAlignment="1" pivotButton="0" quotePrefix="0" xfId="0">
      <alignment horizontal="right"/>
    </xf>
    <xf numFmtId="4" fontId="6" fillId="0" borderId="2" pivotButton="0" quotePrefix="0" xfId="0"/>
    <xf numFmtId="0" fontId="4" fillId="2" borderId="0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/>
    </xf>
    <xf numFmtId="165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4" customWidth="1" min="3" max="3"/>
    <col width="24" customWidth="1" min="4" max="4"/>
    <col width="40" customWidth="1" min="5" max="5"/>
    <col width="40" customWidth="1" min="6" max="6"/>
  </cols>
  <sheetData>
    <row r="1"/>
    <row r="2">
      <c r="B2" s="1" t="inlineStr">
        <is>
          <t>INFORME DE CÁLCULO GLOBAL - IMPUESTOS TRIMESTRALES Q2 2026</t>
        </is>
      </c>
    </row>
    <row r="3">
      <c r="B3" s="2" t="inlineStr">
        <is>
          <t>Contribuyente: Gonzalo Palenzuela Lopez | NIF: 09316264E | Actividad: Afinación y Reparación de Pianos</t>
        </is>
      </c>
    </row>
    <row r="4"/>
    <row r="5">
      <c r="B5" s="3" t="inlineStr">
        <is>
          <t>MODELO 303 - IMPUESTO SOBRE EL VALOR AÑADIDO (IVA)</t>
        </is>
      </c>
    </row>
    <row r="6">
      <c r="B6" s="4" t="inlineStr">
        <is>
          <t>Concepto / Casilla Modelo 303</t>
        </is>
      </c>
      <c r="C6" s="4" t="inlineStr">
        <is>
          <t>Base Imponible (€)</t>
        </is>
      </c>
      <c r="D6" s="4" t="inlineStr">
        <is>
          <t>Tipo (%)</t>
        </is>
      </c>
      <c r="E6" s="4" t="inlineStr">
        <is>
          <t>Cuota de IVA (€)</t>
        </is>
      </c>
      <c r="F6" s="4" t="inlineStr">
        <is>
          <t>Notas Fiscales</t>
        </is>
      </c>
    </row>
    <row r="7">
      <c r="B7" s="5" t="inlineStr">
        <is>
          <t>IVA Devengado: Adquisiciones Intracomunitarias (Casillas 10/11)</t>
        </is>
      </c>
      <c r="C7" s="6" t="n">
        <v>6.96</v>
      </c>
      <c r="D7" s="7" t="inlineStr">
        <is>
          <t>21.0%</t>
        </is>
      </c>
      <c r="E7" s="6" t="n">
        <v>1.46</v>
      </c>
      <c r="F7" s="5" t="inlineStr">
        <is>
          <t>Autoliquidación por inversión del sujeto pasivo (Taffijn Piano Supply).</t>
        </is>
      </c>
    </row>
    <row r="8">
      <c r="B8" s="8" t="inlineStr">
        <is>
          <t>Total IVA Devengado (Suma de cuotas)</t>
        </is>
      </c>
      <c r="C8" s="9" t="inlineStr"/>
      <c r="D8" s="10" t="inlineStr"/>
      <c r="E8" s="9" t="n">
        <v>1.46</v>
      </c>
      <c r="F8" s="8" t="inlineStr">
        <is>
          <t>Suma de IVA repercutido y asimilados.</t>
        </is>
      </c>
    </row>
    <row r="9">
      <c r="B9" s="5" t="inlineStr">
        <is>
          <t>IVA Deducible: Operaciones Corrientes con Tipo 21% (Casillas 28/29)</t>
        </is>
      </c>
      <c r="C9" s="6" t="n">
        <v>127.15</v>
      </c>
      <c r="D9" s="7" t="inlineStr">
        <is>
          <t>21.0%</t>
        </is>
      </c>
      <c r="E9" s="6" t="n">
        <v>26.71</v>
      </c>
      <c r="F9" s="5" t="inlineStr">
        <is>
          <t>Suministros de telecomunicaciones (O2).</t>
        </is>
      </c>
    </row>
    <row r="10">
      <c r="B10" s="5" t="inlineStr">
        <is>
          <t>IVA Deducible: Operaciones Corrientes con Tipo 10% (Casillas 28/29)</t>
        </is>
      </c>
      <c r="C10" s="6" t="n">
        <v>180.52</v>
      </c>
      <c r="D10" s="7" t="inlineStr">
        <is>
          <t>10.0%</t>
        </is>
      </c>
      <c r="E10" s="6" t="n">
        <v>18.06</v>
      </c>
      <c r="F10" s="5" t="inlineStr">
        <is>
          <t>Viajes en tren (Renfe/Trainline) y transportes locales (Uber/Cabify).</t>
        </is>
      </c>
    </row>
    <row r="11">
      <c r="B11" s="5" t="inlineStr">
        <is>
          <t>IVA Deducible: Adquisiciones Intracomunitarias de Bienes (Casillas 36/37)</t>
        </is>
      </c>
      <c r="C11" s="6" t="n">
        <v>6.96</v>
      </c>
      <c r="D11" s="7" t="inlineStr">
        <is>
          <t>21.0%</t>
        </is>
      </c>
      <c r="E11" s="6" t="n">
        <v>1.46</v>
      </c>
      <c r="F11" s="5" t="inlineStr">
        <is>
          <t>Soporte inverso del IVA de adquisición intracomunitaria (Taffijn).</t>
        </is>
      </c>
    </row>
    <row r="12">
      <c r="B12" s="8" t="inlineStr">
        <is>
          <t>Total IVA Deducible (Suma de cuotas)</t>
        </is>
      </c>
      <c r="C12" s="9" t="inlineStr"/>
      <c r="D12" s="10" t="inlineStr"/>
      <c r="E12" s="9" t="n">
        <v>46.23</v>
      </c>
      <c r="F12" s="8" t="inlineStr">
        <is>
          <t>Suma total de IVA soportado deducible.</t>
        </is>
      </c>
    </row>
    <row r="13">
      <c r="B13" s="8" t="inlineStr">
        <is>
          <t>RESULTADO DE LA LIQUIDACIÓN (Casilla 71 - A devolver / Compensar)</t>
        </is>
      </c>
      <c r="C13" s="9" t="inlineStr"/>
      <c r="D13" s="10" t="inlineStr"/>
      <c r="E13" s="11" t="n">
        <v>-44.77</v>
      </c>
      <c r="F13" s="8" t="inlineStr">
        <is>
          <t>Resultado a favor del contribuyente (Saldo negativo).</t>
        </is>
      </c>
    </row>
    <row r="14"/>
    <row r="15"/>
    <row r="16">
      <c r="B16" s="3" t="inlineStr">
        <is>
          <t>MODELO 130 - PAGO FRACCIONADO IRPF (RESUMEN DE GASTOS DE EXPLOTACIÓN Q2)</t>
        </is>
      </c>
    </row>
    <row r="17">
      <c r="B17" s="4" t="inlineStr">
        <is>
          <t>Grupo de Gasto de Explotación</t>
        </is>
      </c>
      <c r="C17" s="4" t="inlineStr">
        <is>
          <t>Importe Deducible (€)</t>
        </is>
      </c>
      <c r="D17" s="4" t="inlineStr">
        <is>
          <t>Número de Operaciones</t>
        </is>
      </c>
      <c r="E17" s="4" t="inlineStr">
        <is>
          <t>Comentarios de Deducibilidad</t>
        </is>
      </c>
    </row>
    <row r="18">
      <c r="B18" s="5" t="inlineStr">
        <is>
          <t>Viajes de Negocios y Alojamiento (Airbnb, Bélgica, Dietas)</t>
        </is>
      </c>
      <c r="C18" s="6" t="n">
        <v>2032.11</v>
      </c>
      <c r="D18" s="7" t="n">
        <v>49</v>
      </c>
      <c r="E18" s="5" t="inlineStr">
        <is>
          <t>Deducible por estancias e manutención directamente vinculadas a afinación en Valencia y Bélgica.</t>
        </is>
      </c>
    </row>
    <row r="19">
      <c r="B19" s="5" t="inlineStr">
        <is>
          <t>Transporte Profesional (Trenes, Taxis, VTC, Peajes)</t>
        </is>
      </c>
      <c r="C19" s="6" t="n">
        <v>409.2899999999999</v>
      </c>
      <c r="D19" s="7" t="n">
        <v>29</v>
      </c>
      <c r="E19" s="5" t="inlineStr">
        <is>
          <t>Transportes públicos, billetes de Renfe y trayectos de Uber/Cabify afectos a visitas de clientes.</t>
        </is>
      </c>
    </row>
    <row r="20">
      <c r="B20" s="5" t="inlineStr">
        <is>
          <t>Vehículo de Actividad (Combustibles y Reparaciones)</t>
        </is>
      </c>
      <c r="C20" s="6" t="n">
        <v>672.6999999999999</v>
      </c>
      <c r="D20" s="7" t="n">
        <v>12</v>
      </c>
      <c r="E20" s="5" t="inlineStr">
        <is>
          <t>Gastos de gasolinera, cambio de ruedas y tasas de ITV. Deducible según grado de afectación comercial.</t>
        </is>
      </c>
    </row>
    <row r="21">
      <c r="B21" s="5" t="inlineStr">
        <is>
          <t>Suministros del Despacho (Telecomunicaciones)</t>
        </is>
      </c>
      <c r="C21" s="6" t="n">
        <v>153.86</v>
      </c>
      <c r="D21" s="7" t="n">
        <v>3</v>
      </c>
      <c r="E21" s="5" t="inlineStr">
        <is>
          <t>Gastos de Fibra, Móviles y TV profesional (O2). 100% de facturas afectas.</t>
        </is>
      </c>
    </row>
    <row r="22">
      <c r="B22" s="5" t="inlineStr">
        <is>
          <t>Otros Gastos Profesionales (Herramientas, Materiales)</t>
        </is>
      </c>
      <c r="C22" s="6" t="n">
        <v>213.4</v>
      </c>
      <c r="D22" s="7" t="n">
        <v>21</v>
      </c>
      <c r="E22" s="5" t="inlineStr">
        <is>
          <t>Adquisición de agujas de afinación (Taffijn Supply) y otros útiles profesionales.</t>
        </is>
      </c>
    </row>
    <row r="23">
      <c r="B23" s="8" t="inlineStr">
        <is>
          <t>TOTAL GASTOS DEDUCIBLES Q2 (IRPF)</t>
        </is>
      </c>
      <c r="C23" s="9" t="n">
        <v>3481.36</v>
      </c>
      <c r="D23" s="10" t="n">
        <v>114</v>
      </c>
      <c r="E23" s="8" t="inlineStr">
        <is>
          <t>Suma global de gastos de explotación imputables al segundo trimestre para el cálculo del Modelo 130.</t>
        </is>
      </c>
    </row>
    <row r="24">
      <c r="B24" s="12" t="inlineStr">
        <is>
          <t>Gastos No Deducibles Excluidos (Clínica Médica)</t>
        </is>
      </c>
      <c r="C24" s="13" t="n">
        <v>488</v>
      </c>
      <c r="D24" s="14" t="n">
        <v>1</v>
      </c>
      <c r="E24" s="12" t="inlineStr">
        <is>
          <t>Gastos de índole personal (Clínica Hernade). Excluidos de las deducciones fiscales.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21" customWidth="1" min="4" max="4"/>
    <col width="36" customWidth="1" min="5" max="5"/>
    <col width="17" customWidth="1" min="6" max="6"/>
    <col width="21" customWidth="1" min="7" max="7"/>
    <col width="15" customWidth="1" min="8" max="8"/>
    <col width="16" customWidth="1" min="9" max="9"/>
    <col width="20" customWidth="1" min="10" max="10"/>
    <col width="22" customWidth="1" min="11" max="11"/>
    <col width="23" customWidth="1" min="12" max="12"/>
    <col width="28" customWidth="1" min="13" max="13"/>
    <col width="40" customWidth="1" min="14" max="14"/>
  </cols>
  <sheetData>
    <row r="1"/>
    <row r="2">
      <c r="B2" s="1" t="inlineStr">
        <is>
          <t>LIBRO REGISTRO OFICIAL DE FACTURAS RECIBIDAS (Q2 2026)</t>
        </is>
      </c>
    </row>
    <row r="3">
      <c r="B3" s="2" t="inlineStr">
        <is>
          <t>Conforme al artículo 64 del Reglamento del IVA (Real Decreto 1624/1992)</t>
        </is>
      </c>
    </row>
    <row r="4"/>
    <row r="5" ht="28" customHeight="1">
      <c r="B5" s="15" t="inlineStr">
        <is>
          <t>Nº Registro</t>
        </is>
      </c>
      <c r="C5" s="15" t="inlineStr">
        <is>
          <t>Fecha Factura</t>
        </is>
      </c>
      <c r="D5" s="15" t="inlineStr">
        <is>
          <t>Número Factura</t>
        </is>
      </c>
      <c r="E5" s="15" t="inlineStr">
        <is>
          <t>Emisor (Proveedor)</t>
        </is>
      </c>
      <c r="F5" s="15" t="inlineStr">
        <is>
          <t>NIF Emisor</t>
        </is>
      </c>
      <c r="G5" s="15" t="inlineStr">
        <is>
          <t>Base Imponible (€)</t>
        </is>
      </c>
      <c r="H5" s="15" t="inlineStr">
        <is>
          <t>Tipo IVA (%)</t>
        </is>
      </c>
      <c r="I5" s="15" t="inlineStr">
        <is>
          <t>Cuota IVA (€)</t>
        </is>
      </c>
      <c r="J5" s="15" t="inlineStr">
        <is>
          <t>Total Factura (€)</t>
        </is>
      </c>
      <c r="K5" s="15" t="inlineStr">
        <is>
          <t>Deducible 303 (IVA)</t>
        </is>
      </c>
      <c r="L5" s="15" t="inlineStr">
        <is>
          <t>Deducible 130 (IRPF)</t>
        </is>
      </c>
      <c r="M5" s="15" t="inlineStr">
        <is>
          <t>Categoría Gasto</t>
        </is>
      </c>
      <c r="N5" s="15" t="inlineStr">
        <is>
          <t>Conciliación / Pago</t>
        </is>
      </c>
    </row>
    <row r="6">
      <c r="B6" s="7" t="inlineStr">
        <is>
          <t>REC-2026-001</t>
        </is>
      </c>
      <c r="C6" s="7" t="inlineStr">
        <is>
          <t>03/04/2026</t>
        </is>
      </c>
      <c r="D6" s="7" t="inlineStr">
        <is>
          <t>Receipt_03042026</t>
        </is>
      </c>
      <c r="E6" s="5" t="inlineStr">
        <is>
          <t>Uber B.V.</t>
        </is>
      </c>
      <c r="F6" s="7" t="inlineStr">
        <is>
          <t>NL852205929B01</t>
        </is>
      </c>
      <c r="G6" s="6" t="n">
        <v>19.05</v>
      </c>
      <c r="H6" s="16" t="n">
        <v>0.1</v>
      </c>
      <c r="I6" s="6" t="n">
        <v>1.9</v>
      </c>
      <c r="J6" s="6" t="n">
        <v>20.95</v>
      </c>
      <c r="K6" s="7" t="inlineStr">
        <is>
          <t>Sí</t>
        </is>
      </c>
      <c r="L6" s="7" t="inlineStr">
        <is>
          <t>Sí</t>
        </is>
      </c>
      <c r="M6" s="5" t="inlineStr">
        <is>
          <t>Transporte (VTC)</t>
        </is>
      </c>
      <c r="N6" s="5" t="n">
        <v/>
      </c>
    </row>
    <row r="7">
      <c r="B7" s="17" t="inlineStr">
        <is>
          <t>REC-2026-002</t>
        </is>
      </c>
      <c r="C7" s="17" t="inlineStr">
        <is>
          <t>04/04/2026</t>
        </is>
      </c>
      <c r="D7" s="17" t="inlineStr">
        <is>
          <t>OM4VADJ0026677</t>
        </is>
      </c>
      <c r="E7" s="18" t="inlineStr">
        <is>
          <t>Telefónica de España, S.A.U. (O2)</t>
        </is>
      </c>
      <c r="F7" s="17" t="inlineStr">
        <is>
          <t>A-82018474</t>
        </is>
      </c>
      <c r="G7" s="19" t="n">
        <v>41.32</v>
      </c>
      <c r="H7" s="20" t="n">
        <v>0.21</v>
      </c>
      <c r="I7" s="19" t="n">
        <v>8.68</v>
      </c>
      <c r="J7" s="19" t="n">
        <v>50</v>
      </c>
      <c r="K7" s="17" t="inlineStr">
        <is>
          <t>Sí</t>
        </is>
      </c>
      <c r="L7" s="17" t="inlineStr">
        <is>
          <t>Sí</t>
        </is>
      </c>
      <c r="M7" s="18" t="inlineStr">
        <is>
          <t>Telecomunicaciones</t>
        </is>
      </c>
      <c r="N7" s="18" t="inlineStr">
        <is>
          <t>Domiciliación Bancaria (Cuenta Corriente)</t>
        </is>
      </c>
    </row>
    <row r="8">
      <c r="B8" s="7" t="inlineStr">
        <is>
          <t>REC-2026-003</t>
        </is>
      </c>
      <c r="C8" s="7" t="inlineStr">
        <is>
          <t>06/04/2026</t>
        </is>
      </c>
      <c r="D8" s="7" t="inlineStr">
        <is>
          <t>Booking_Kareelerf8</t>
        </is>
      </c>
      <c r="E8" s="5" t="inlineStr">
        <is>
          <t>Christina Achmadi (Bélgica)</t>
        </is>
      </c>
      <c r="F8" s="7" t="inlineStr">
        <is>
          <t>BE_Christina</t>
        </is>
      </c>
      <c r="G8" s="6" t="n">
        <v>600</v>
      </c>
      <c r="H8" s="16" t="n">
        <v>0</v>
      </c>
      <c r="I8" s="6" t="n">
        <v>0</v>
      </c>
      <c r="J8" s="6" t="n">
        <v>600</v>
      </c>
      <c r="K8" s="7" t="inlineStr">
        <is>
          <t>No</t>
        </is>
      </c>
      <c r="L8" s="7" t="inlineStr">
        <is>
          <t>Sí</t>
        </is>
      </c>
      <c r="M8" s="5" t="inlineStr">
        <is>
          <t>Alojamiento</t>
        </is>
      </c>
      <c r="N8" s="5" t="inlineStr">
        <is>
          <t>Transferencia Bancaria (Bélgica)</t>
        </is>
      </c>
    </row>
    <row r="9">
      <c r="B9" s="17" t="inlineStr">
        <is>
          <t>REC-2026-004</t>
        </is>
      </c>
      <c r="C9" s="17" t="inlineStr">
        <is>
          <t>04/05/2026</t>
        </is>
      </c>
      <c r="D9" s="17" t="inlineStr">
        <is>
          <t>OM4VAEJ0035906</t>
        </is>
      </c>
      <c r="E9" s="18" t="inlineStr">
        <is>
          <t>Telefónica de España, S.A.U. (O2)</t>
        </is>
      </c>
      <c r="F9" s="17" t="inlineStr">
        <is>
          <t>A-82018474</t>
        </is>
      </c>
      <c r="G9" s="19" t="n">
        <v>41.74</v>
      </c>
      <c r="H9" s="20" t="n">
        <v>0.21</v>
      </c>
      <c r="I9" s="19" t="n">
        <v>8.77</v>
      </c>
      <c r="J9" s="19" t="n">
        <v>50.51</v>
      </c>
      <c r="K9" s="17" t="inlineStr">
        <is>
          <t>Sí</t>
        </is>
      </c>
      <c r="L9" s="17" t="inlineStr">
        <is>
          <t>Sí</t>
        </is>
      </c>
      <c r="M9" s="18" t="inlineStr">
        <is>
          <t>Telecomunicaciones</t>
        </is>
      </c>
      <c r="N9" s="18" t="inlineStr">
        <is>
          <t>Domiciliación Bancaria (Cuenta Corriente)</t>
        </is>
      </c>
    </row>
    <row r="10">
      <c r="B10" s="7" t="inlineStr">
        <is>
          <t>REC-2026-005</t>
        </is>
      </c>
      <c r="C10" s="7" t="inlineStr">
        <is>
          <t>14/05/2026</t>
        </is>
      </c>
      <c r="D10" s="7" t="inlineStr">
        <is>
          <t>7686802034922</t>
        </is>
      </c>
      <c r="E10" s="5" t="inlineStr">
        <is>
          <t>RENFE VIAJEROS S.M.E., S</t>
        </is>
      </c>
      <c r="F10" s="7" t="inlineStr">
        <is>
          <t>A86868189</t>
        </is>
      </c>
      <c r="G10" s="6" t="n">
        <v>29.54</v>
      </c>
      <c r="H10" s="16" t="n">
        <v>0.1</v>
      </c>
      <c r="I10" s="6" t="n">
        <v>2.96</v>
      </c>
      <c r="J10" s="6" t="n">
        <v>32.5</v>
      </c>
      <c r="K10" s="7" t="inlineStr">
        <is>
          <t>Sí</t>
        </is>
      </c>
      <c r="L10" s="7" t="inlineStr">
        <is>
          <t>Sí</t>
        </is>
      </c>
      <c r="M10" s="5" t="inlineStr">
        <is>
          <t>Transporte (Tren)</t>
        </is>
      </c>
      <c r="N10" s="5" t="inlineStr">
        <is>
          <t>Tarjeta - 26/05/2026 (-14.76 €)</t>
        </is>
      </c>
    </row>
    <row r="11">
      <c r="B11" s="17" t="inlineStr">
        <is>
          <t>REC-2026-006</t>
        </is>
      </c>
      <c r="C11" s="17" t="inlineStr">
        <is>
          <t>14/05/2026</t>
        </is>
      </c>
      <c r="D11" s="17" t="inlineStr">
        <is>
          <t>7633302031081</t>
        </is>
      </c>
      <c r="E11" s="18" t="inlineStr">
        <is>
          <t>RENFE VIAJEROS S.M.E., S</t>
        </is>
      </c>
      <c r="F11" s="17" t="inlineStr">
        <is>
          <t>A86868189</t>
        </is>
      </c>
      <c r="G11" s="19" t="n">
        <v>29.54</v>
      </c>
      <c r="H11" s="20" t="n">
        <v>0.1</v>
      </c>
      <c r="I11" s="19" t="n">
        <v>2.96</v>
      </c>
      <c r="J11" s="19" t="n">
        <v>32.5</v>
      </c>
      <c r="K11" s="17" t="inlineStr">
        <is>
          <t>Sí</t>
        </is>
      </c>
      <c r="L11" s="17" t="inlineStr">
        <is>
          <t>Sí</t>
        </is>
      </c>
      <c r="M11" s="18" t="inlineStr">
        <is>
          <t>Transporte (Tren)</t>
        </is>
      </c>
      <c r="N11" s="18" t="inlineStr">
        <is>
          <t>Tarjeta - 26/05/2026 (-14.76 €)</t>
        </is>
      </c>
    </row>
    <row r="12">
      <c r="B12" s="7" t="inlineStr">
        <is>
          <t>REC-2026-007</t>
        </is>
      </c>
      <c r="C12" s="7" t="inlineStr">
        <is>
          <t>16/05/2026</t>
        </is>
      </c>
      <c r="D12" s="7" t="inlineStr">
        <is>
          <t>ESPV26ES107295</t>
        </is>
      </c>
      <c r="E12" s="5" t="inlineStr">
        <is>
          <t>Miurchi Car S.L. (Cabify)</t>
        </is>
      </c>
      <c r="F12" s="7" t="inlineStr">
        <is>
          <t>B88021506</t>
        </is>
      </c>
      <c r="G12" s="6" t="n">
        <v>26.21</v>
      </c>
      <c r="H12" s="16" t="n">
        <v>0</v>
      </c>
      <c r="I12" s="6" t="n">
        <v>0</v>
      </c>
      <c r="J12" s="6" t="n">
        <v>26.21</v>
      </c>
      <c r="K12" s="7" t="inlineStr">
        <is>
          <t>No</t>
        </is>
      </c>
      <c r="L12" s="7" t="inlineStr">
        <is>
          <t>Sí</t>
        </is>
      </c>
      <c r="M12" s="5" t="inlineStr">
        <is>
          <t>Transporte (VTC)</t>
        </is>
      </c>
      <c r="N12" s="5" t="inlineStr">
        <is>
          <t>Tarjeta - 19/05/2026 (-22.26 €)</t>
        </is>
      </c>
    </row>
    <row r="13">
      <c r="B13" s="17" t="inlineStr">
        <is>
          <t>REC-2026-008</t>
        </is>
      </c>
      <c r="C13" s="17" t="inlineStr">
        <is>
          <t>17/05/2026</t>
        </is>
      </c>
      <c r="D13" s="17" t="inlineStr">
        <is>
          <t>Receipt_17052026</t>
        </is>
      </c>
      <c r="E13" s="18" t="inlineStr">
        <is>
          <t>Uber B.V.</t>
        </is>
      </c>
      <c r="F13" s="17" t="inlineStr">
        <is>
          <t>NL852205929B01</t>
        </is>
      </c>
      <c r="G13" s="19" t="n">
        <v>24.03</v>
      </c>
      <c r="H13" s="20" t="n">
        <v>0.1</v>
      </c>
      <c r="I13" s="19" t="n">
        <v>2.4</v>
      </c>
      <c r="J13" s="19" t="n">
        <v>26.43</v>
      </c>
      <c r="K13" s="17" t="inlineStr">
        <is>
          <t>Sí</t>
        </is>
      </c>
      <c r="L13" s="17" t="inlineStr">
        <is>
          <t>Sí</t>
        </is>
      </c>
      <c r="M13" s="18" t="inlineStr">
        <is>
          <t>Transporte (VTC)</t>
        </is>
      </c>
      <c r="N13" s="18" t="inlineStr">
        <is>
          <t>Tarjeta - 16/05/2026 (-26.21 €)</t>
        </is>
      </c>
    </row>
    <row r="14">
      <c r="B14" s="7" t="inlineStr">
        <is>
          <t>REC-2026-009</t>
        </is>
      </c>
      <c r="C14" s="7" t="inlineStr">
        <is>
          <t>18/05/2026</t>
        </is>
      </c>
      <c r="D14" s="7" t="inlineStr">
        <is>
          <t>Receipt_18052026</t>
        </is>
      </c>
      <c r="E14" s="5" t="inlineStr">
        <is>
          <t>Khaled Tabash (Uber Bélgica)</t>
        </is>
      </c>
      <c r="F14" s="7" t="inlineStr">
        <is>
          <t>BE0484809009</t>
        </is>
      </c>
      <c r="G14" s="6" t="n">
        <v>34.02</v>
      </c>
      <c r="H14" s="16" t="n">
        <v>0</v>
      </c>
      <c r="I14" s="6" t="n">
        <v>0</v>
      </c>
      <c r="J14" s="6" t="n">
        <v>34.02</v>
      </c>
      <c r="K14" s="7" t="inlineStr">
        <is>
          <t>No</t>
        </is>
      </c>
      <c r="L14" s="7" t="inlineStr">
        <is>
          <t>Sí</t>
        </is>
      </c>
      <c r="M14" s="5" t="inlineStr">
        <is>
          <t>Transporte (VTC)</t>
        </is>
      </c>
      <c r="N14" s="5" t="inlineStr">
        <is>
          <t>Pago Pendiente / No en este extracto</t>
        </is>
      </c>
    </row>
    <row r="15">
      <c r="B15" s="17" t="inlineStr">
        <is>
          <t>REC-2026-010</t>
        </is>
      </c>
      <c r="C15" s="17" t="inlineStr">
        <is>
          <t>28/05/2026</t>
        </is>
      </c>
      <c r="D15" s="17" t="inlineStr">
        <is>
          <t>2026 / 543</t>
        </is>
      </c>
      <c r="E15" s="18" t="inlineStr">
        <is>
          <t>Taffijn Piano Supply BV (Bélgica)</t>
        </is>
      </c>
      <c r="F15" s="17" t="inlineStr">
        <is>
          <t>BE0810380164</t>
        </is>
      </c>
      <c r="G15" s="19" t="n">
        <v>6.96</v>
      </c>
      <c r="H15" s="20" t="n">
        <v>0</v>
      </c>
      <c r="I15" s="19" t="n">
        <v>0</v>
      </c>
      <c r="J15" s="19" t="n">
        <v>6.96</v>
      </c>
      <c r="K15" s="17" t="inlineStr">
        <is>
          <t>Sí</t>
        </is>
      </c>
      <c r="L15" s="17" t="inlineStr">
        <is>
          <t>Sí</t>
        </is>
      </c>
      <c r="M15" s="18" t="inlineStr">
        <is>
          <t>Herramientas y Materiales</t>
        </is>
      </c>
      <c r="N15" s="18" t="inlineStr">
        <is>
          <t>Pago Pendiente / No en este extracto</t>
        </is>
      </c>
    </row>
    <row r="16">
      <c r="B16" s="7" t="inlineStr">
        <is>
          <t>REC-2026-011</t>
        </is>
      </c>
      <c r="C16" s="7" t="inlineStr">
        <is>
          <t>03/06/2026</t>
        </is>
      </c>
      <c r="D16" s="7" t="inlineStr">
        <is>
          <t>RCYQ3E9RRP</t>
        </is>
      </c>
      <c r="E16" s="5" t="inlineStr">
        <is>
          <t>Airbnb Payments Luxembourg S.A.</t>
        </is>
      </c>
      <c r="F16" s="7" t="inlineStr">
        <is>
          <t>IE9827384L</t>
        </is>
      </c>
      <c r="G16" s="6" t="n">
        <v>509.31</v>
      </c>
      <c r="H16" s="16" t="n">
        <v>0</v>
      </c>
      <c r="I16" s="6" t="n">
        <v>0</v>
      </c>
      <c r="J16" s="6" t="n">
        <v>509.31</v>
      </c>
      <c r="K16" s="7" t="inlineStr">
        <is>
          <t>No</t>
        </is>
      </c>
      <c r="L16" s="7" t="inlineStr">
        <is>
          <t>Sí</t>
        </is>
      </c>
      <c r="M16" s="5" t="inlineStr">
        <is>
          <t>Alojamiento</t>
        </is>
      </c>
      <c r="N16" s="5" t="inlineStr">
        <is>
          <t>Pago Pendiente / No en este extracto</t>
        </is>
      </c>
    </row>
    <row r="17">
      <c r="B17" s="17" t="inlineStr">
        <is>
          <t>REC-2026-012</t>
        </is>
      </c>
      <c r="C17" s="17" t="inlineStr">
        <is>
          <t>04/06/2026</t>
        </is>
      </c>
      <c r="D17" s="17" t="inlineStr">
        <is>
          <t>OM4VAFJ0026713</t>
        </is>
      </c>
      <c r="E17" s="18" t="inlineStr">
        <is>
          <t>Telefónica de España, S.A.U. (O2)</t>
        </is>
      </c>
      <c r="F17" s="17" t="inlineStr">
        <is>
          <t>A-82018474</t>
        </is>
      </c>
      <c r="G17" s="19" t="n">
        <v>44.09</v>
      </c>
      <c r="H17" s="20" t="n">
        <v>0.21</v>
      </c>
      <c r="I17" s="19" t="n">
        <v>9.26</v>
      </c>
      <c r="J17" s="19" t="n">
        <v>53.35</v>
      </c>
      <c r="K17" s="17" t="inlineStr">
        <is>
          <t>Sí</t>
        </is>
      </c>
      <c r="L17" s="17" t="inlineStr">
        <is>
          <t>Sí</t>
        </is>
      </c>
      <c r="M17" s="18" t="inlineStr">
        <is>
          <t>Telecomunicaciones</t>
        </is>
      </c>
      <c r="N17" s="18" t="inlineStr">
        <is>
          <t>Domiciliación Bancaria (Cuenta Corriente)</t>
        </is>
      </c>
    </row>
    <row r="18">
      <c r="B18" s="7" t="inlineStr">
        <is>
          <t>REC-2026-013</t>
        </is>
      </c>
      <c r="C18" s="7" t="inlineStr">
        <is>
          <t>26/06/2026</t>
        </is>
      </c>
      <c r="D18" s="7" t="inlineStr">
        <is>
          <t>5D7DVF96</t>
        </is>
      </c>
      <c r="E18" s="5" t="inlineStr">
        <is>
          <t>RENFE VIAJEROS S.M.E., S</t>
        </is>
      </c>
      <c r="F18" s="7" t="inlineStr">
        <is>
          <t>A86868189</t>
        </is>
      </c>
      <c r="G18" s="6" t="n">
        <v>78.36</v>
      </c>
      <c r="H18" s="16" t="n">
        <v>0.1</v>
      </c>
      <c r="I18" s="6" t="n">
        <v>7.84</v>
      </c>
      <c r="J18" s="6" t="n">
        <v>86.2</v>
      </c>
      <c r="K18" s="7" t="inlineStr">
        <is>
          <t>Sí</t>
        </is>
      </c>
      <c r="L18" s="7" t="inlineStr">
        <is>
          <t>Sí</t>
        </is>
      </c>
      <c r="M18" s="5" t="inlineStr">
        <is>
          <t>Transporte (Tren)</t>
        </is>
      </c>
      <c r="N18" s="5" t="inlineStr">
        <is>
          <t>Pago Pendiente / No en este extracto</t>
        </is>
      </c>
    </row>
    <row r="19">
      <c r="B19" s="21" t="n"/>
      <c r="C19" s="21" t="n"/>
      <c r="D19" s="21" t="n"/>
      <c r="E19" s="22" t="inlineStr">
        <is>
          <t>TOTALES</t>
        </is>
      </c>
      <c r="F19" s="21" t="n"/>
      <c r="G19" s="23">
        <f>SUM(G6:G18)</f>
        <v/>
      </c>
      <c r="H19" s="21" t="n"/>
      <c r="I19" s="23">
        <f>SUM(I6:I18)</f>
        <v/>
      </c>
      <c r="J19" s="23">
        <f>SUM(J6:J18)</f>
        <v/>
      </c>
      <c r="K19" s="21" t="n"/>
      <c r="L19" s="21" t="n"/>
      <c r="M19" s="21" t="n"/>
      <c r="N19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9" customWidth="1" min="4" max="4"/>
    <col width="23" customWidth="1" min="5" max="5"/>
    <col width="24" customWidth="1" min="6" max="6"/>
    <col width="39" customWidth="1" min="7" max="7"/>
    <col width="37" customWidth="1" min="8" max="8"/>
    <col width="40" customWidth="1" min="9" max="9"/>
  </cols>
  <sheetData>
    <row r="1"/>
    <row r="2">
      <c r="B2" s="1" t="inlineStr">
        <is>
          <t>EXTRACTO DE MOVIMIENTOS DE TARJETA DE CRÉDITO Q2 2026</t>
        </is>
      </c>
    </row>
    <row r="3">
      <c r="B3" s="2" t="inlineStr">
        <is>
          <t>Reconciliado y Categorizado para Fines Fiscales de IRPF e IVA</t>
        </is>
      </c>
    </row>
    <row r="4"/>
    <row r="5" ht="24" customHeight="1">
      <c r="B5" s="24" t="inlineStr">
        <is>
          <t>Fila Extracto</t>
        </is>
      </c>
      <c r="C5" s="24" t="inlineStr">
        <is>
          <t>Fecha Operación</t>
        </is>
      </c>
      <c r="D5" s="24" t="inlineStr">
        <is>
          <t>Concepto / Establecimiento</t>
        </is>
      </c>
      <c r="E5" s="24" t="inlineStr">
        <is>
          <t>Importe original (€)</t>
        </is>
      </c>
      <c r="F5" s="24" t="inlineStr">
        <is>
          <t>Gasto Profesional (€)</t>
        </is>
      </c>
      <c r="G5" s="24" t="inlineStr">
        <is>
          <t>Grupo Gasto</t>
        </is>
      </c>
      <c r="H5" s="24" t="inlineStr">
        <is>
          <t>Deducible IRPF</t>
        </is>
      </c>
      <c r="I5" s="24" t="inlineStr">
        <is>
          <t>Comentario / Justificación Fiscal</t>
        </is>
      </c>
    </row>
    <row r="6">
      <c r="B6" s="7" t="n">
        <v>1</v>
      </c>
      <c r="C6" s="7" t="inlineStr">
        <is>
          <t>02/04/2026</t>
        </is>
      </c>
      <c r="D6" s="5" t="inlineStr">
        <is>
          <t>Crf Exp Vilvoord</t>
        </is>
      </c>
      <c r="E6" s="6" t="n">
        <v>-8.06</v>
      </c>
      <c r="F6" s="6" t="n">
        <v>8.06</v>
      </c>
      <c r="G6" s="5" t="inlineStr">
        <is>
          <t>Viajes (Alimentación / Supermercado)</t>
        </is>
      </c>
      <c r="H6" s="7" t="inlineStr">
        <is>
          <t>Sí (Dieta)</t>
        </is>
      </c>
      <c r="I6" s="5" t="inlineStr">
        <is>
          <t>Alimentación durante estancia por viaje de negocios en el extranjero/nacional.</t>
        </is>
      </c>
    </row>
    <row r="7">
      <c r="B7" s="17" t="n">
        <v>2</v>
      </c>
      <c r="C7" s="17" t="inlineStr">
        <is>
          <t>03/04/2026</t>
        </is>
      </c>
      <c r="D7" s="18" t="inlineStr">
        <is>
          <t>Taxi Lic 197</t>
        </is>
      </c>
      <c r="E7" s="19" t="n">
        <v>-11.3</v>
      </c>
      <c r="F7" s="19" t="n">
        <v>11.3</v>
      </c>
      <c r="G7" s="18" t="inlineStr">
        <is>
          <t>Transporte (Taxis / VTC)</t>
        </is>
      </c>
      <c r="H7" s="17" t="inlineStr">
        <is>
          <t>Sí</t>
        </is>
      </c>
      <c r="I7" s="18" t="inlineStr">
        <is>
          <t>Desplazamiento profesional. Pago con tarjeta.</t>
        </is>
      </c>
    </row>
    <row r="8">
      <c r="B8" s="7" t="n">
        <v>3</v>
      </c>
      <c r="C8" s="7" t="inlineStr">
        <is>
          <t>03/04/2026</t>
        </is>
      </c>
      <c r="D8" s="5" t="inlineStr">
        <is>
          <t>Autogrill - Vending Cc</t>
        </is>
      </c>
      <c r="E8" s="6" t="n">
        <v>-3.4</v>
      </c>
      <c r="F8" s="6" t="n">
        <v>3.4</v>
      </c>
      <c r="G8" s="5" t="inlineStr">
        <is>
          <t>Viajes (Manutención / Restaurante)</t>
        </is>
      </c>
      <c r="H8" s="7" t="inlineStr">
        <is>
          <t>Sí (Dieta)</t>
        </is>
      </c>
      <c r="I8" s="5" t="inlineStr">
        <is>
          <t>Gastos de manutención en viaje de negocios. Deducción sujeta a límites de dieta profesional.</t>
        </is>
      </c>
    </row>
    <row r="9">
      <c r="B9" s="17" t="n">
        <v>4</v>
      </c>
      <c r="C9" s="17" t="inlineStr">
        <is>
          <t>03/04/2026</t>
        </is>
      </c>
      <c r="D9" s="18" t="inlineStr">
        <is>
          <t>Uber   *trip</t>
        </is>
      </c>
      <c r="E9" s="19" t="n">
        <v>-20.95</v>
      </c>
      <c r="F9" s="19" t="n">
        <v>20.95</v>
      </c>
      <c r="G9" s="18" t="inlineStr">
        <is>
          <t>Transporte (Taxis / VTC)</t>
        </is>
      </c>
      <c r="H9" s="17" t="inlineStr">
        <is>
          <t>Sí</t>
        </is>
      </c>
      <c r="I9" s="18" t="inlineStr">
        <is>
          <t>Desplazamiento profesional.</t>
        </is>
      </c>
    </row>
    <row r="10">
      <c r="B10" s="7" t="n">
        <v>5</v>
      </c>
      <c r="C10" s="7" t="inlineStr">
        <is>
          <t>03/04/2026</t>
        </is>
      </c>
      <c r="D10" s="5" t="inlineStr">
        <is>
          <t>One Hundred Restrooms Spa</t>
        </is>
      </c>
      <c r="E10" s="6" t="n">
        <v>-1</v>
      </c>
      <c r="F10" s="6" t="n">
        <v>1</v>
      </c>
      <c r="G10" s="5" t="inlineStr">
        <is>
          <t>Otros Gastos de Explotación</t>
        </is>
      </c>
      <c r="H10" s="7" t="inlineStr">
        <is>
          <t>Sí</t>
        </is>
      </c>
      <c r="I10" s="5" t="inlineStr">
        <is>
          <t>Otros gastos asociados a la actividad profesional.</t>
        </is>
      </c>
    </row>
    <row r="11">
      <c r="B11" s="17" t="n">
        <v>6</v>
      </c>
      <c r="C11" s="17" t="inlineStr">
        <is>
          <t>03/04/2026</t>
        </is>
      </c>
      <c r="D11" s="18" t="inlineStr">
        <is>
          <t>Panos  A</t>
        </is>
      </c>
      <c r="E11" s="19" t="n">
        <v>-6.5</v>
      </c>
      <c r="F11" s="19" t="n">
        <v>6.5</v>
      </c>
      <c r="G11" s="18" t="inlineStr">
        <is>
          <t>Viajes (Manutención / Restaurante)</t>
        </is>
      </c>
      <c r="H11" s="17" t="inlineStr">
        <is>
          <t>Sí (Dieta)</t>
        </is>
      </c>
      <c r="I11" s="18" t="inlineStr">
        <is>
          <t>Gastos de manutención en viaje de negocios. Deducción sujeta a límites de dieta profesional.</t>
        </is>
      </c>
    </row>
    <row r="12">
      <c r="B12" s="7" t="n">
        <v>7</v>
      </c>
      <c r="C12" s="7" t="inlineStr">
        <is>
          <t>06/04/2026</t>
        </is>
      </c>
      <c r="D12" s="5" t="inlineStr">
        <is>
          <t>Renfe Virtual I</t>
        </is>
      </c>
      <c r="E12" s="6" t="n">
        <v>-86.2</v>
      </c>
      <c r="F12" s="6" t="n">
        <v>86.2</v>
      </c>
      <c r="G12" s="5" t="inlineStr">
        <is>
          <t>Transporte (Tren)</t>
        </is>
      </c>
      <c r="H12" s="7" t="inlineStr">
        <is>
          <t>Sí</t>
        </is>
      </c>
      <c r="I12" s="5" t="inlineStr">
        <is>
          <t>Viaje de negocios. Soportado por billete/factura simplificada.</t>
        </is>
      </c>
    </row>
    <row r="13">
      <c r="B13" s="17" t="n">
        <v>8</v>
      </c>
      <c r="C13" s="17" t="inlineStr">
        <is>
          <t>10/04/2026</t>
        </is>
      </c>
      <c r="D13" s="18" t="inlineStr">
        <is>
          <t>Mpass</t>
        </is>
      </c>
      <c r="E13" s="19" t="n">
        <v>-1</v>
      </c>
      <c r="F13" s="19" t="n">
        <v>1</v>
      </c>
      <c r="G13" s="18" t="inlineStr">
        <is>
          <t>Transporte (Parking / Peajes)</t>
        </is>
      </c>
      <c r="H13" s="17" t="inlineStr">
        <is>
          <t>Sí</t>
        </is>
      </c>
      <c r="I13" s="18" t="inlineStr">
        <is>
          <t>Gastos de aparcamiento y peajes por viaje profesional.</t>
        </is>
      </c>
    </row>
    <row r="14">
      <c r="B14" s="7" t="n">
        <v>9</v>
      </c>
      <c r="C14" s="7" t="inlineStr">
        <is>
          <t>10/04/2026</t>
        </is>
      </c>
      <c r="D14" s="5" t="inlineStr">
        <is>
          <t>Metro De Madrid</t>
        </is>
      </c>
      <c r="E14" s="6" t="n">
        <v>-7.3</v>
      </c>
      <c r="F14" s="6" t="n">
        <v>7.3</v>
      </c>
      <c r="G14" s="5" t="inlineStr">
        <is>
          <t>Transporte (Transporte Público)</t>
        </is>
      </c>
      <c r="H14" s="7" t="inlineStr">
        <is>
          <t>Sí</t>
        </is>
      </c>
      <c r="I14" s="5" t="inlineStr">
        <is>
          <t>Transporte público durante viaje de negocios.</t>
        </is>
      </c>
    </row>
    <row r="15">
      <c r="B15" s="17" t="n">
        <v>10</v>
      </c>
      <c r="C15" s="17" t="inlineStr">
        <is>
          <t>12/04/2026</t>
        </is>
      </c>
      <c r="D15" s="18" t="inlineStr">
        <is>
          <t>Four De Freeze-boer</t>
        </is>
      </c>
      <c r="E15" s="19" t="n">
        <v>-5</v>
      </c>
      <c r="F15" s="19" t="n">
        <v>5</v>
      </c>
      <c r="G15" s="18" t="inlineStr">
        <is>
          <t>Otros Gastos de Explotación</t>
        </is>
      </c>
      <c r="H15" s="17" t="inlineStr">
        <is>
          <t>Sí</t>
        </is>
      </c>
      <c r="I15" s="18" t="inlineStr">
        <is>
          <t>Otros gastos asociados a la actividad profesional.</t>
        </is>
      </c>
    </row>
    <row r="16">
      <c r="B16" s="7" t="n">
        <v>11</v>
      </c>
      <c r="C16" s="7" t="inlineStr">
        <is>
          <t>12/04/2026</t>
        </is>
      </c>
      <c r="D16" s="5" t="inlineStr">
        <is>
          <t>Nmbs Bru Nat Luchthaven T</t>
        </is>
      </c>
      <c r="E16" s="6" t="n">
        <v>-18.5</v>
      </c>
      <c r="F16" s="6" t="n">
        <v>18.5</v>
      </c>
      <c r="G16" s="5" t="inlineStr">
        <is>
          <t>Transporte (Transporte Público)</t>
        </is>
      </c>
      <c r="H16" s="7" t="inlineStr">
        <is>
          <t>Sí</t>
        </is>
      </c>
      <c r="I16" s="5" t="inlineStr">
        <is>
          <t>Transporte público durante viaje de negocios.</t>
        </is>
      </c>
    </row>
    <row r="17">
      <c r="B17" s="17" t="n">
        <v>12</v>
      </c>
      <c r="C17" s="17" t="inlineStr">
        <is>
          <t>12/04/2026</t>
        </is>
      </c>
      <c r="D17" s="18" t="inlineStr">
        <is>
          <t>Exki</t>
        </is>
      </c>
      <c r="E17" s="19" t="n">
        <v>-8.300000000000001</v>
      </c>
      <c r="F17" s="19" t="n">
        <v>8.300000000000001</v>
      </c>
      <c r="G17" s="18" t="inlineStr">
        <is>
          <t>Viajes (Manutención / Restaurante)</t>
        </is>
      </c>
      <c r="H17" s="17" t="inlineStr">
        <is>
          <t>Sí (Dieta)</t>
        </is>
      </c>
      <c r="I17" s="18" t="inlineStr">
        <is>
          <t>Gastos de manutención en viaje de negocios. Deducción sujeta a límites de dieta profesional.</t>
        </is>
      </c>
    </row>
    <row r="18">
      <c r="B18" s="7" t="n">
        <v>13</v>
      </c>
      <c r="C18" s="7" t="inlineStr">
        <is>
          <t>12/04/2026</t>
        </is>
      </c>
      <c r="D18" s="5" t="inlineStr">
        <is>
          <t>Aerop. Adolfo S</t>
        </is>
      </c>
      <c r="E18" s="6" t="n">
        <v>-10.45</v>
      </c>
      <c r="F18" s="6" t="n">
        <v>10.45</v>
      </c>
      <c r="G18" s="5" t="inlineStr">
        <is>
          <t>Otros Gastos de Explotación</t>
        </is>
      </c>
      <c r="H18" s="7" t="inlineStr">
        <is>
          <t>Sí</t>
        </is>
      </c>
      <c r="I18" s="5" t="inlineStr">
        <is>
          <t>Otros gastos asociados a la actividad profesional.</t>
        </is>
      </c>
    </row>
    <row r="19">
      <c r="B19" s="17" t="n">
        <v>14</v>
      </c>
      <c r="C19" s="17" t="inlineStr">
        <is>
          <t>13/04/2026</t>
        </is>
      </c>
      <c r="D19" s="18" t="inlineStr">
        <is>
          <t>Albert Heijn 3175</t>
        </is>
      </c>
      <c r="E19" s="19" t="n">
        <v>-56.1</v>
      </c>
      <c r="F19" s="19" t="n">
        <v>56.1</v>
      </c>
      <c r="G19" s="18" t="inlineStr">
        <is>
          <t>Viajes (Alimentación / Supermercado)</t>
        </is>
      </c>
      <c r="H19" s="17" t="inlineStr">
        <is>
          <t>Sí (Dieta)</t>
        </is>
      </c>
      <c r="I19" s="18" t="inlineStr">
        <is>
          <t>Alimentación durante estancia por viaje de negocios en el extranjero/nacional.</t>
        </is>
      </c>
    </row>
    <row r="20">
      <c r="B20" s="7" t="n">
        <v>15</v>
      </c>
      <c r="C20" s="7" t="inlineStr">
        <is>
          <t>14/04/2026</t>
        </is>
      </c>
      <c r="D20" s="5" t="inlineStr">
        <is>
          <t>Albert Heijn 3175</t>
        </is>
      </c>
      <c r="E20" s="6" t="n">
        <v>-13.5</v>
      </c>
      <c r="F20" s="6" t="n">
        <v>13.5</v>
      </c>
      <c r="G20" s="5" t="inlineStr">
        <is>
          <t>Viajes (Alimentación / Supermercado)</t>
        </is>
      </c>
      <c r="H20" s="7" t="inlineStr">
        <is>
          <t>Sí (Dieta)</t>
        </is>
      </c>
      <c r="I20" s="5" t="inlineStr">
        <is>
          <t>Alimentación durante estancia por viaje de negocios en el extranjero/nacional.</t>
        </is>
      </c>
    </row>
    <row r="21">
      <c r="B21" s="17" t="n">
        <v>16</v>
      </c>
      <c r="C21" s="17" t="inlineStr">
        <is>
          <t>15/04/2026</t>
        </is>
      </c>
      <c r="D21" s="18" t="inlineStr">
        <is>
          <t>Albert Heijn 3175</t>
        </is>
      </c>
      <c r="E21" s="19" t="n">
        <v>-8.44</v>
      </c>
      <c r="F21" s="19" t="n">
        <v>8.44</v>
      </c>
      <c r="G21" s="18" t="inlineStr">
        <is>
          <t>Viajes (Alimentación / Supermercado)</t>
        </is>
      </c>
      <c r="H21" s="17" t="inlineStr">
        <is>
          <t>Sí (Dieta)</t>
        </is>
      </c>
      <c r="I21" s="18" t="inlineStr">
        <is>
          <t>Alimentación durante estancia por viaje de negocios en el extranjero/nacional.</t>
        </is>
      </c>
    </row>
    <row r="22">
      <c r="B22" s="7" t="n">
        <v>17</v>
      </c>
      <c r="C22" s="7" t="inlineStr">
        <is>
          <t>15/04/2026</t>
        </is>
      </c>
      <c r="D22" s="5" t="inlineStr">
        <is>
          <t>Huis Maria Ruiselede Nv</t>
        </is>
      </c>
      <c r="E22" s="6" t="n">
        <v>-10.33</v>
      </c>
      <c r="F22" s="6" t="n">
        <v>10.33</v>
      </c>
      <c r="G22" s="5" t="inlineStr">
        <is>
          <t>Otros Gastos de Explotación</t>
        </is>
      </c>
      <c r="H22" s="7" t="inlineStr">
        <is>
          <t>Sí</t>
        </is>
      </c>
      <c r="I22" s="5" t="inlineStr">
        <is>
          <t>Otros gastos asociados a la actividad profesional.</t>
        </is>
      </c>
    </row>
    <row r="23">
      <c r="B23" s="17" t="n">
        <v>18</v>
      </c>
      <c r="C23" s="17" t="inlineStr">
        <is>
          <t>17/04/2026</t>
        </is>
      </c>
      <c r="D23" s="18" t="inlineStr">
        <is>
          <t>Albert Heijn 3175</t>
        </is>
      </c>
      <c r="E23" s="19" t="n">
        <v>-21.59</v>
      </c>
      <c r="F23" s="19" t="n">
        <v>21.59</v>
      </c>
      <c r="G23" s="18" t="inlineStr">
        <is>
          <t>Viajes (Alimentación / Supermercado)</t>
        </is>
      </c>
      <c r="H23" s="17" t="inlineStr">
        <is>
          <t>Sí (Dieta)</t>
        </is>
      </c>
      <c r="I23" s="18" t="inlineStr">
        <is>
          <t>Alimentación durante estancia por viaje de negocios en el extranjero/nacional.</t>
        </is>
      </c>
    </row>
    <row r="24">
      <c r="B24" s="7" t="n">
        <v>19</v>
      </c>
      <c r="C24" s="7" t="inlineStr">
        <is>
          <t>18/04/2026</t>
        </is>
      </c>
      <c r="D24" s="5" t="inlineStr">
        <is>
          <t>Albert Heijn 3175</t>
        </is>
      </c>
      <c r="E24" s="6" t="n">
        <v>-11.85</v>
      </c>
      <c r="F24" s="6" t="n">
        <v>11.85</v>
      </c>
      <c r="G24" s="5" t="inlineStr">
        <is>
          <t>Viajes (Alimentación / Supermercado)</t>
        </is>
      </c>
      <c r="H24" s="7" t="inlineStr">
        <is>
          <t>Sí (Dieta)</t>
        </is>
      </c>
      <c r="I24" s="5" t="inlineStr">
        <is>
          <t>Alimentación durante estancia por viaje de negocios en el extranjero/nacional.</t>
        </is>
      </c>
    </row>
    <row r="25">
      <c r="B25" s="17" t="n">
        <v>20</v>
      </c>
      <c r="C25" s="17" t="inlineStr">
        <is>
          <t>20/04/2026</t>
        </is>
      </c>
      <c r="D25" s="18" t="inlineStr">
        <is>
          <t>Albert Heijn 3175</t>
        </is>
      </c>
      <c r="E25" s="19" t="n">
        <v>-14.86</v>
      </c>
      <c r="F25" s="19" t="n">
        <v>14.86</v>
      </c>
      <c r="G25" s="18" t="inlineStr">
        <is>
          <t>Viajes (Alimentación / Supermercado)</t>
        </is>
      </c>
      <c r="H25" s="17" t="inlineStr">
        <is>
          <t>Sí (Dieta)</t>
        </is>
      </c>
      <c r="I25" s="18" t="inlineStr">
        <is>
          <t>Alimentación durante estancia por viaje de negocios en el extranjero/nacional.</t>
        </is>
      </c>
    </row>
    <row r="26">
      <c r="B26" s="14" t="n">
        <v>21</v>
      </c>
      <c r="C26" s="14" t="inlineStr">
        <is>
          <t>20/04/2026</t>
        </is>
      </c>
      <c r="D26" s="12" t="inlineStr">
        <is>
          <t>Santanderpremia</t>
        </is>
      </c>
      <c r="E26" s="25" t="n">
        <v>0.06</v>
      </c>
      <c r="F26" s="25" t="n">
        <v>0.06</v>
      </c>
      <c r="G26" s="12" t="inlineStr">
        <is>
          <t>Ingresos / Bonificaciones</t>
        </is>
      </c>
      <c r="H26" s="14" t="inlineStr">
        <is>
          <t>No</t>
        </is>
      </c>
      <c r="I26" s="12" t="inlineStr">
        <is>
          <t>Bonificación o cashback de tarjeta de crédito.</t>
        </is>
      </c>
    </row>
    <row r="27">
      <c r="B27" s="17" t="n">
        <v>22</v>
      </c>
      <c r="C27" s="17" t="inlineStr">
        <is>
          <t>21/04/2026</t>
        </is>
      </c>
      <c r="D27" s="18" t="inlineStr">
        <is>
          <t>May Flowers  Aalter</t>
        </is>
      </c>
      <c r="E27" s="19" t="n">
        <v>-17.95</v>
      </c>
      <c r="F27" s="19" t="n">
        <v>17.95</v>
      </c>
      <c r="G27" s="18" t="inlineStr">
        <is>
          <t>Otros Gastos de Explotación</t>
        </is>
      </c>
      <c r="H27" s="17" t="inlineStr">
        <is>
          <t>Sí</t>
        </is>
      </c>
      <c r="I27" s="18" t="inlineStr">
        <is>
          <t>Otros gastos asociados a la actividad profesional.</t>
        </is>
      </c>
    </row>
    <row r="28">
      <c r="B28" s="7" t="n">
        <v>23</v>
      </c>
      <c r="C28" s="7" t="inlineStr">
        <is>
          <t>22/04/2026</t>
        </is>
      </c>
      <c r="D28" s="5" t="inlineStr">
        <is>
          <t>Albert Heijn 3175</t>
        </is>
      </c>
      <c r="E28" s="6" t="n">
        <v>-5.87</v>
      </c>
      <c r="F28" s="6" t="n">
        <v>5.87</v>
      </c>
      <c r="G28" s="5" t="inlineStr">
        <is>
          <t>Viajes (Alimentación / Supermercado)</t>
        </is>
      </c>
      <c r="H28" s="7" t="inlineStr">
        <is>
          <t>Sí (Dieta)</t>
        </is>
      </c>
      <c r="I28" s="5" t="inlineStr">
        <is>
          <t>Alimentación durante estancia por viaje de negocios en el extranjero/nacional.</t>
        </is>
      </c>
    </row>
    <row r="29">
      <c r="B29" s="17" t="n">
        <v>24</v>
      </c>
      <c r="C29" s="17" t="inlineStr">
        <is>
          <t>23/04/2026</t>
        </is>
      </c>
      <c r="D29" s="18" t="inlineStr">
        <is>
          <t>Albert Heijn 3175</t>
        </is>
      </c>
      <c r="E29" s="19" t="n">
        <v>-10.97</v>
      </c>
      <c r="F29" s="19" t="n">
        <v>10.97</v>
      </c>
      <c r="G29" s="18" t="inlineStr">
        <is>
          <t>Viajes (Alimentación / Supermercado)</t>
        </is>
      </c>
      <c r="H29" s="17" t="inlineStr">
        <is>
          <t>Sí (Dieta)</t>
        </is>
      </c>
      <c r="I29" s="18" t="inlineStr">
        <is>
          <t>Alimentación durante estancia por viaje de negocios en el extranjero/nacional.</t>
        </is>
      </c>
    </row>
    <row r="30">
      <c r="B30" s="7" t="n">
        <v>25</v>
      </c>
      <c r="C30" s="7" t="inlineStr">
        <is>
          <t>24/04/2026</t>
        </is>
      </c>
      <c r="D30" s="5" t="inlineStr">
        <is>
          <t>Albert Heijn 3175</t>
        </is>
      </c>
      <c r="E30" s="6" t="n">
        <v>-18.8</v>
      </c>
      <c r="F30" s="6" t="n">
        <v>18.8</v>
      </c>
      <c r="G30" s="5" t="inlineStr">
        <is>
          <t>Viajes (Alimentación / Supermercado)</t>
        </is>
      </c>
      <c r="H30" s="7" t="inlineStr">
        <is>
          <t>Sí (Dieta)</t>
        </is>
      </c>
      <c r="I30" s="5" t="inlineStr">
        <is>
          <t>Alimentación durante estancia por viaje de negocios en el extranjero/nacional.</t>
        </is>
      </c>
    </row>
    <row r="31">
      <c r="B31" s="17" t="n">
        <v>26</v>
      </c>
      <c r="C31" s="17" t="inlineStr">
        <is>
          <t>25/04/2026</t>
        </is>
      </c>
      <c r="D31" s="18" t="inlineStr">
        <is>
          <t>Albert Heijn 3175</t>
        </is>
      </c>
      <c r="E31" s="19" t="n">
        <v>-7.47</v>
      </c>
      <c r="F31" s="19" t="n">
        <v>7.47</v>
      </c>
      <c r="G31" s="18" t="inlineStr">
        <is>
          <t>Viajes (Alimentación / Supermercado)</t>
        </is>
      </c>
      <c r="H31" s="17" t="inlineStr">
        <is>
          <t>Sí (Dieta)</t>
        </is>
      </c>
      <c r="I31" s="18" t="inlineStr">
        <is>
          <t>Alimentación durante estancia por viaje de negocios en el extranjero/nacional.</t>
        </is>
      </c>
    </row>
    <row r="32">
      <c r="B32" s="7" t="n">
        <v>27</v>
      </c>
      <c r="C32" s="7" t="inlineStr">
        <is>
          <t>26/04/2026</t>
        </is>
      </c>
      <c r="D32" s="5" t="inlineStr">
        <is>
          <t>Xoni Streetfood</t>
        </is>
      </c>
      <c r="E32" s="6" t="n">
        <v>-17.5</v>
      </c>
      <c r="F32" s="6" t="n">
        <v>17.5</v>
      </c>
      <c r="G32" s="5" t="inlineStr">
        <is>
          <t>Otros Gastos de Explotación</t>
        </is>
      </c>
      <c r="H32" s="7" t="inlineStr">
        <is>
          <t>Sí</t>
        </is>
      </c>
      <c r="I32" s="5" t="inlineStr">
        <is>
          <t>Otros gastos asociados a la actividad profesional.</t>
        </is>
      </c>
    </row>
    <row r="33">
      <c r="B33" s="17" t="n">
        <v>28</v>
      </c>
      <c r="C33" s="17" t="inlineStr">
        <is>
          <t>26/04/2026</t>
        </is>
      </c>
      <c r="D33" s="18" t="inlineStr">
        <is>
          <t>Albert Heijn 3175</t>
        </is>
      </c>
      <c r="E33" s="19" t="n">
        <v>-5.88</v>
      </c>
      <c r="F33" s="19" t="n">
        <v>5.88</v>
      </c>
      <c r="G33" s="18" t="inlineStr">
        <is>
          <t>Viajes (Alimentación / Supermercado)</t>
        </is>
      </c>
      <c r="H33" s="17" t="inlineStr">
        <is>
          <t>Sí (Dieta)</t>
        </is>
      </c>
      <c r="I33" s="18" t="inlineStr">
        <is>
          <t>Alimentación durante estancia por viaje de negocios en el extranjero/nacional.</t>
        </is>
      </c>
    </row>
    <row r="34">
      <c r="B34" s="7" t="n">
        <v>29</v>
      </c>
      <c r="C34" s="7" t="inlineStr">
        <is>
          <t>28/04/2026</t>
        </is>
      </c>
      <c r="D34" s="5" t="inlineStr">
        <is>
          <t>Albert Heijn 3175</t>
        </is>
      </c>
      <c r="E34" s="6" t="n">
        <v>-11.29</v>
      </c>
      <c r="F34" s="6" t="n">
        <v>11.29</v>
      </c>
      <c r="G34" s="5" t="inlineStr">
        <is>
          <t>Viajes (Alimentación / Supermercado)</t>
        </is>
      </c>
      <c r="H34" s="7" t="inlineStr">
        <is>
          <t>Sí (Dieta)</t>
        </is>
      </c>
      <c r="I34" s="5" t="inlineStr">
        <is>
          <t>Alimentación durante estancia por viaje de negocios en el extranjero/nacional.</t>
        </is>
      </c>
    </row>
    <row r="35">
      <c r="B35" s="17" t="n">
        <v>30</v>
      </c>
      <c r="C35" s="17" t="inlineStr">
        <is>
          <t>29/04/2026</t>
        </is>
      </c>
      <c r="D35" s="18" t="inlineStr">
        <is>
          <t>Albert Heijn 3175</t>
        </is>
      </c>
      <c r="E35" s="19" t="n">
        <v>-4.27</v>
      </c>
      <c r="F35" s="19" t="n">
        <v>4.27</v>
      </c>
      <c r="G35" s="18" t="inlineStr">
        <is>
          <t>Viajes (Alimentación / Supermercado)</t>
        </is>
      </c>
      <c r="H35" s="17" t="inlineStr">
        <is>
          <t>Sí (Dieta)</t>
        </is>
      </c>
      <c r="I35" s="18" t="inlineStr">
        <is>
          <t>Alimentación durante estancia por viaje de negocios en el extranjero/nacional.</t>
        </is>
      </c>
    </row>
    <row r="36">
      <c r="B36" s="7" t="n">
        <v>31</v>
      </c>
      <c r="C36" s="7" t="inlineStr">
        <is>
          <t>30/04/2026</t>
        </is>
      </c>
      <c r="D36" s="5" t="inlineStr">
        <is>
          <t>Blablacar</t>
        </is>
      </c>
      <c r="E36" s="6" t="n">
        <v>14</v>
      </c>
      <c r="F36" s="6" t="n">
        <v>14</v>
      </c>
      <c r="G36" s="5" t="inlineStr">
        <is>
          <t>Transporte (Viaje Compartido)</t>
        </is>
      </c>
      <c r="H36" s="7" t="inlineStr">
        <is>
          <t>Sí</t>
        </is>
      </c>
      <c r="I36" s="5" t="inlineStr">
        <is>
          <t>Desplazamiento para tuning de pianos.</t>
        </is>
      </c>
    </row>
    <row r="37">
      <c r="B37" s="17" t="n">
        <v>32</v>
      </c>
      <c r="C37" s="17" t="inlineStr">
        <is>
          <t>30/04/2026</t>
        </is>
      </c>
      <c r="D37" s="18" t="inlineStr">
        <is>
          <t>Nmbs Aalter</t>
        </is>
      </c>
      <c r="E37" s="19" t="n">
        <v>-23.4</v>
      </c>
      <c r="F37" s="19" t="n">
        <v>23.4</v>
      </c>
      <c r="G37" s="18" t="inlineStr">
        <is>
          <t>Transporte (Transporte Público)</t>
        </is>
      </c>
      <c r="H37" s="17" t="inlineStr">
        <is>
          <t>Sí</t>
        </is>
      </c>
      <c r="I37" s="18" t="inlineStr">
        <is>
          <t>Transporte público durante viaje de negocios.</t>
        </is>
      </c>
    </row>
    <row r="38">
      <c r="B38" s="7" t="n">
        <v>33</v>
      </c>
      <c r="C38" s="7" t="inlineStr">
        <is>
          <t>30/04/2026</t>
        </is>
      </c>
      <c r="D38" s="5" t="inlineStr">
        <is>
          <t>Avolta Abru Panos Landsid</t>
        </is>
      </c>
      <c r="E38" s="6" t="n">
        <v>-13.4</v>
      </c>
      <c r="F38" s="6" t="n">
        <v>13.4</v>
      </c>
      <c r="G38" s="5" t="inlineStr">
        <is>
          <t>Viajes (Manutención / Restaurante)</t>
        </is>
      </c>
      <c r="H38" s="7" t="inlineStr">
        <is>
          <t>Sí (Dieta)</t>
        </is>
      </c>
      <c r="I38" s="5" t="inlineStr">
        <is>
          <t>Gastos de manutención en viaje de negocios. Deducción sujeta a límites de dieta profesional.</t>
        </is>
      </c>
    </row>
    <row r="39">
      <c r="B39" s="17" t="n">
        <v>34</v>
      </c>
      <c r="C39" s="17" t="inlineStr">
        <is>
          <t>30/04/2026</t>
        </is>
      </c>
      <c r="D39" s="18" t="inlineStr">
        <is>
          <t>Blablacar</t>
        </is>
      </c>
      <c r="E39" s="19" t="n">
        <v>-17.89</v>
      </c>
      <c r="F39" s="19" t="n">
        <v>17.89</v>
      </c>
      <c r="G39" s="18" t="inlineStr">
        <is>
          <t>Transporte (Viaje Compartido)</t>
        </is>
      </c>
      <c r="H39" s="17" t="inlineStr">
        <is>
          <t>Sí</t>
        </is>
      </c>
      <c r="I39" s="18" t="inlineStr">
        <is>
          <t>Desplazamiento para tuning de pianos.</t>
        </is>
      </c>
    </row>
    <row r="40">
      <c r="B40" s="7" t="n">
        <v>35</v>
      </c>
      <c r="C40" s="7" t="inlineStr">
        <is>
          <t>30/04/2026</t>
        </is>
      </c>
      <c r="D40" s="5" t="inlineStr">
        <is>
          <t>T1034 - Enrique</t>
        </is>
      </c>
      <c r="E40" s="6" t="n">
        <v>-3.95</v>
      </c>
      <c r="F40" s="6" t="n">
        <v>3.95</v>
      </c>
      <c r="G40" s="5" t="inlineStr">
        <is>
          <t>Viajes (Manutención / Restaurante)</t>
        </is>
      </c>
      <c r="H40" s="7" t="inlineStr">
        <is>
          <t>Sí (Dieta)</t>
        </is>
      </c>
      <c r="I40" s="5" t="inlineStr">
        <is>
          <t>Gastos de manutención en viaje de negocios. Deducción sujeta a límites de dieta profesional.</t>
        </is>
      </c>
    </row>
    <row r="41">
      <c r="B41" s="17" t="n">
        <v>36</v>
      </c>
      <c r="C41" s="17" t="inlineStr">
        <is>
          <t>30/04/2026</t>
        </is>
      </c>
      <c r="D41" s="18" t="inlineStr">
        <is>
          <t>La Taberna De B</t>
        </is>
      </c>
      <c r="E41" s="19" t="n">
        <v>-11</v>
      </c>
      <c r="F41" s="19" t="n">
        <v>11</v>
      </c>
      <c r="G41" s="18" t="inlineStr">
        <is>
          <t>Viajes (Manutención / Restaurante)</t>
        </is>
      </c>
      <c r="H41" s="17" t="inlineStr">
        <is>
          <t>Sí (Dieta)</t>
        </is>
      </c>
      <c r="I41" s="18" t="inlineStr">
        <is>
          <t>Gastos de manutención en viaje de negocios. Deducción sujeta a límites de dieta profesional.</t>
        </is>
      </c>
    </row>
    <row r="42">
      <c r="B42" s="7" t="n">
        <v>37</v>
      </c>
      <c r="C42" s="7" t="inlineStr">
        <is>
          <t>30/04/2026</t>
        </is>
      </c>
      <c r="D42" s="5" t="inlineStr">
        <is>
          <t>Taxista Juana M</t>
        </is>
      </c>
      <c r="E42" s="6" t="n">
        <v>-10.9</v>
      </c>
      <c r="F42" s="6" t="n">
        <v>10.9</v>
      </c>
      <c r="G42" s="5" t="inlineStr">
        <is>
          <t>Transporte (Taxis / VTC)</t>
        </is>
      </c>
      <c r="H42" s="7" t="inlineStr">
        <is>
          <t>Sí</t>
        </is>
      </c>
      <c r="I42" s="5" t="inlineStr">
        <is>
          <t>Desplazamiento profesional. Pago con tarjeta.</t>
        </is>
      </c>
    </row>
    <row r="43">
      <c r="B43" s="17" t="n">
        <v>38</v>
      </c>
      <c r="C43" s="17" t="inlineStr">
        <is>
          <t>03/05/2026</t>
        </is>
      </c>
      <c r="D43" s="18" t="inlineStr">
        <is>
          <t>Triton I</t>
        </is>
      </c>
      <c r="E43" s="19" t="n">
        <v>-22</v>
      </c>
      <c r="F43" s="19" t="n">
        <v>22</v>
      </c>
      <c r="G43" s="18" t="inlineStr">
        <is>
          <t>Viajes (Manutención / Restaurante)</t>
        </is>
      </c>
      <c r="H43" s="17" t="inlineStr">
        <is>
          <t>Sí (Dieta)</t>
        </is>
      </c>
      <c r="I43" s="18" t="inlineStr">
        <is>
          <t>Gastos de manutención en viaje de negocios. Deducción sujeta a límites de dieta profesional.</t>
        </is>
      </c>
    </row>
    <row r="44">
      <c r="B44" s="7" t="n">
        <v>39</v>
      </c>
      <c r="C44" s="7" t="inlineStr">
        <is>
          <t>04/05/2026</t>
        </is>
      </c>
      <c r="D44" s="5" t="inlineStr">
        <is>
          <t>Parking Clubo C</t>
        </is>
      </c>
      <c r="E44" s="6" t="n">
        <v>-3.25</v>
      </c>
      <c r="F44" s="6" t="n">
        <v>3.25</v>
      </c>
      <c r="G44" s="5" t="inlineStr">
        <is>
          <t>Transporte (Parking / Peajes)</t>
        </is>
      </c>
      <c r="H44" s="7" t="inlineStr">
        <is>
          <t>Sí</t>
        </is>
      </c>
      <c r="I44" s="5" t="inlineStr">
        <is>
          <t>Gastos de aparcamiento y peajes por viaje profesional.</t>
        </is>
      </c>
    </row>
    <row r="45">
      <c r="B45" s="17" t="n">
        <v>40</v>
      </c>
      <c r="C45" s="17" t="inlineStr">
        <is>
          <t>05/05/2026</t>
        </is>
      </c>
      <c r="D45" s="18" t="inlineStr">
        <is>
          <t>La Esquina De D</t>
        </is>
      </c>
      <c r="E45" s="19" t="n">
        <v>-28</v>
      </c>
      <c r="F45" s="19" t="n">
        <v>28</v>
      </c>
      <c r="G45" s="18" t="inlineStr">
        <is>
          <t>Viajes (Manutención / Restaurante)</t>
        </is>
      </c>
      <c r="H45" s="17" t="inlineStr">
        <is>
          <t>Sí (Dieta)</t>
        </is>
      </c>
      <c r="I45" s="18" t="inlineStr">
        <is>
          <t>Gastos de manutención en viaje de negocios. Deducción sujeta a límites de dieta profesional.</t>
        </is>
      </c>
    </row>
    <row r="46">
      <c r="B46" s="7" t="n">
        <v>41</v>
      </c>
      <c r="C46" s="7" t="inlineStr">
        <is>
          <t>05/05/2026</t>
        </is>
      </c>
      <c r="D46" s="5" t="inlineStr">
        <is>
          <t>Muxunav</t>
        </is>
      </c>
      <c r="E46" s="6" t="n">
        <v>-6.15</v>
      </c>
      <c r="F46" s="6" t="n">
        <v>6.15</v>
      </c>
      <c r="G46" s="5" t="inlineStr">
        <is>
          <t>Otros Gastos de Explotación</t>
        </is>
      </c>
      <c r="H46" s="7" t="inlineStr">
        <is>
          <t>Sí</t>
        </is>
      </c>
      <c r="I46" s="5" t="inlineStr">
        <is>
          <t>Otros gastos asociados a la actividad profesional.</t>
        </is>
      </c>
    </row>
    <row r="47">
      <c r="B47" s="17" t="n">
        <v>42</v>
      </c>
      <c r="C47" s="17" t="inlineStr">
        <is>
          <t>06/05/2026</t>
        </is>
      </c>
      <c r="D47" s="18" t="inlineStr">
        <is>
          <t>Expdelicia</t>
        </is>
      </c>
      <c r="E47" s="19" t="n">
        <v>-16.37</v>
      </c>
      <c r="F47" s="19" t="n">
        <v>16.37</v>
      </c>
      <c r="G47" s="18" t="inlineStr">
        <is>
          <t>Otros Gastos de Explotación</t>
        </is>
      </c>
      <c r="H47" s="17" t="inlineStr">
        <is>
          <t>Sí</t>
        </is>
      </c>
      <c r="I47" s="18" t="inlineStr">
        <is>
          <t>Otros gastos asociados a la actividad profesional.</t>
        </is>
      </c>
    </row>
    <row r="48">
      <c r="B48" s="7" t="n">
        <v>43</v>
      </c>
      <c r="C48" s="7" t="inlineStr">
        <is>
          <t>07/05/2026</t>
        </is>
      </c>
      <c r="D48" s="5" t="inlineStr">
        <is>
          <t>Mpass</t>
        </is>
      </c>
      <c r="E48" s="6" t="n">
        <v>-3</v>
      </c>
      <c r="F48" s="6" t="n">
        <v>3</v>
      </c>
      <c r="G48" s="5" t="inlineStr">
        <is>
          <t>Transporte (Parking / Peajes)</t>
        </is>
      </c>
      <c r="H48" s="7" t="inlineStr">
        <is>
          <t>Sí</t>
        </is>
      </c>
      <c r="I48" s="5" t="inlineStr">
        <is>
          <t>Gastos de aparcamiento y peajes por viaje profesional.</t>
        </is>
      </c>
    </row>
    <row r="49">
      <c r="B49" s="17" t="n">
        <v>44</v>
      </c>
      <c r="C49" s="17" t="inlineStr">
        <is>
          <t>08/05/2026</t>
        </is>
      </c>
      <c r="D49" s="18" t="inlineStr">
        <is>
          <t>Casa Santiago</t>
        </is>
      </c>
      <c r="E49" s="19" t="n">
        <v>-13</v>
      </c>
      <c r="F49" s="19" t="n">
        <v>13</v>
      </c>
      <c r="G49" s="18" t="inlineStr">
        <is>
          <t>Viajes (Manutención / Restaurante)</t>
        </is>
      </c>
      <c r="H49" s="17" t="inlineStr">
        <is>
          <t>Sí (Dieta)</t>
        </is>
      </c>
      <c r="I49" s="18" t="inlineStr">
        <is>
          <t>Gastos de manutención en viaje de negocios. Deducción sujeta a límites de dieta profesional.</t>
        </is>
      </c>
    </row>
    <row r="50">
      <c r="B50" s="7" t="n">
        <v>45</v>
      </c>
      <c r="C50" s="7" t="inlineStr">
        <is>
          <t>09/05/2026</t>
        </is>
      </c>
      <c r="D50" s="5" t="inlineStr">
        <is>
          <t>El Mirador De L</t>
        </is>
      </c>
      <c r="E50" s="6" t="n">
        <v>-3.9</v>
      </c>
      <c r="F50" s="6" t="n">
        <v>3.9</v>
      </c>
      <c r="G50" s="5" t="inlineStr">
        <is>
          <t>Viajes (Manutención / Restaurante)</t>
        </is>
      </c>
      <c r="H50" s="7" t="inlineStr">
        <is>
          <t>Sí (Dieta)</t>
        </is>
      </c>
      <c r="I50" s="5" t="inlineStr">
        <is>
          <t>Gastos de manutención en viaje de negocios. Deducción sujeta a límites de dieta profesional.</t>
        </is>
      </c>
    </row>
    <row r="51">
      <c r="B51" s="17" t="n">
        <v>46</v>
      </c>
      <c r="C51" s="17" t="inlineStr">
        <is>
          <t>09/05/2026</t>
        </is>
      </c>
      <c r="D51" s="18" t="inlineStr">
        <is>
          <t>Horno De Santa</t>
        </is>
      </c>
      <c r="E51" s="19" t="n">
        <v>-2.3</v>
      </c>
      <c r="F51" s="19" t="n">
        <v>2.3</v>
      </c>
      <c r="G51" s="18" t="inlineStr">
        <is>
          <t>Otros Gastos de Explotación</t>
        </is>
      </c>
      <c r="H51" s="17" t="inlineStr">
        <is>
          <t>Sí</t>
        </is>
      </c>
      <c r="I51" s="18" t="inlineStr">
        <is>
          <t>Otros gastos asociados a la actividad profesional.</t>
        </is>
      </c>
    </row>
    <row r="52">
      <c r="B52" s="7" t="n">
        <v>47</v>
      </c>
      <c r="C52" s="7" t="inlineStr">
        <is>
          <t>09/05/2026</t>
        </is>
      </c>
      <c r="D52" s="5" t="inlineStr">
        <is>
          <t>Victor Gomez</t>
        </is>
      </c>
      <c r="E52" s="6" t="n">
        <v>-5.4</v>
      </c>
      <c r="F52" s="6" t="n">
        <v>5.4</v>
      </c>
      <c r="G52" s="5" t="inlineStr">
        <is>
          <t>Viajes (Manutención / Restaurante)</t>
        </is>
      </c>
      <c r="H52" s="7" t="inlineStr">
        <is>
          <t>Sí (Dieta)</t>
        </is>
      </c>
      <c r="I52" s="5" t="inlineStr">
        <is>
          <t>Gastos de manutención en viaje de negocios. Deducción sujeta a límites de dieta profesional.</t>
        </is>
      </c>
    </row>
    <row r="53">
      <c r="B53" s="17" t="n">
        <v>48</v>
      </c>
      <c r="C53" s="17" t="inlineStr">
        <is>
          <t>09/05/2026</t>
        </is>
      </c>
      <c r="D53" s="18" t="inlineStr">
        <is>
          <t>El Lienzo - Caf</t>
        </is>
      </c>
      <c r="E53" s="19" t="n">
        <v>-2.5</v>
      </c>
      <c r="F53" s="19" t="n">
        <v>2.5</v>
      </c>
      <c r="G53" s="18" t="inlineStr">
        <is>
          <t>Viajes (Manutención / Restaurante)</t>
        </is>
      </c>
      <c r="H53" s="17" t="inlineStr">
        <is>
          <t>Sí (Dieta)</t>
        </is>
      </c>
      <c r="I53" s="18" t="inlineStr">
        <is>
          <t>Gastos de manutención en viaje de negocios. Deducción sujeta a límites de dieta profesional.</t>
        </is>
      </c>
    </row>
    <row r="54">
      <c r="B54" s="7" t="n">
        <v>49</v>
      </c>
      <c r="C54" s="7" t="inlineStr">
        <is>
          <t>09/05/2026</t>
        </is>
      </c>
      <c r="D54" s="5" t="inlineStr">
        <is>
          <t>El Lienzo - Caf</t>
        </is>
      </c>
      <c r="E54" s="6" t="n">
        <v>-7.6</v>
      </c>
      <c r="F54" s="6" t="n">
        <v>7.6</v>
      </c>
      <c r="G54" s="5" t="inlineStr">
        <is>
          <t>Viajes (Manutención / Restaurante)</t>
        </is>
      </c>
      <c r="H54" s="7" t="inlineStr">
        <is>
          <t>Sí (Dieta)</t>
        </is>
      </c>
      <c r="I54" s="5" t="inlineStr">
        <is>
          <t>Gastos de manutención en viaje de negocios. Deducción sujeta a límites de dieta profesional.</t>
        </is>
      </c>
    </row>
    <row r="55">
      <c r="B55" s="17" t="n">
        <v>50</v>
      </c>
      <c r="C55" s="17" t="inlineStr">
        <is>
          <t>09/05/2026</t>
        </is>
      </c>
      <c r="D55" s="18" t="inlineStr">
        <is>
          <t>El Lienzo - Caf</t>
        </is>
      </c>
      <c r="E55" s="19" t="n">
        <v>-2</v>
      </c>
      <c r="F55" s="19" t="n">
        <v>2</v>
      </c>
      <c r="G55" s="18" t="inlineStr">
        <is>
          <t>Viajes (Manutención / Restaurante)</t>
        </is>
      </c>
      <c r="H55" s="17" t="inlineStr">
        <is>
          <t>Sí (Dieta)</t>
        </is>
      </c>
      <c r="I55" s="18" t="inlineStr">
        <is>
          <t>Gastos de manutención en viaje de negocios. Deducción sujeta a límites de dieta profesional.</t>
        </is>
      </c>
    </row>
    <row r="56">
      <c r="B56" s="7" t="n">
        <v>51</v>
      </c>
      <c r="C56" s="7" t="inlineStr">
        <is>
          <t>09/05/2026</t>
        </is>
      </c>
      <c r="D56" s="5" t="inlineStr">
        <is>
          <t>El Paso De La G</t>
        </is>
      </c>
      <c r="E56" s="6" t="n">
        <v>-6.15</v>
      </c>
      <c r="F56" s="6" t="n">
        <v>6.15</v>
      </c>
      <c r="G56" s="5" t="inlineStr">
        <is>
          <t>Viajes (Manutención / Restaurante)</t>
        </is>
      </c>
      <c r="H56" s="7" t="inlineStr">
        <is>
          <t>Sí (Dieta)</t>
        </is>
      </c>
      <c r="I56" s="5" t="inlineStr">
        <is>
          <t>Gastos de manutención en viaje de negocios. Deducción sujeta a límites de dieta profesional.</t>
        </is>
      </c>
    </row>
    <row r="57">
      <c r="B57" s="17" t="n">
        <v>52</v>
      </c>
      <c r="C57" s="17" t="inlineStr">
        <is>
          <t>09/05/2026</t>
        </is>
      </c>
      <c r="D57" s="18" t="inlineStr">
        <is>
          <t>Luis Taxi</t>
        </is>
      </c>
      <c r="E57" s="19" t="n">
        <v>-10.55</v>
      </c>
      <c r="F57" s="19" t="n">
        <v>10.55</v>
      </c>
      <c r="G57" s="18" t="inlineStr">
        <is>
          <t>Transporte (Taxis / VTC)</t>
        </is>
      </c>
      <c r="H57" s="17" t="inlineStr">
        <is>
          <t>Sí</t>
        </is>
      </c>
      <c r="I57" s="18" t="inlineStr">
        <is>
          <t>Desplazamiento profesional. Pago con tarjeta.</t>
        </is>
      </c>
    </row>
    <row r="58">
      <c r="B58" s="7" t="n">
        <v>53</v>
      </c>
      <c r="C58" s="7" t="inlineStr">
        <is>
          <t>09/05/2026</t>
        </is>
      </c>
      <c r="D58" s="5" t="inlineStr">
        <is>
          <t>Renfe Ave 10400</t>
        </is>
      </c>
      <c r="E58" s="6" t="n">
        <v>-12.7</v>
      </c>
      <c r="F58" s="6" t="n">
        <v>12.7</v>
      </c>
      <c r="G58" s="5" t="inlineStr">
        <is>
          <t>Transporte (Tren)</t>
        </is>
      </c>
      <c r="H58" s="7" t="inlineStr">
        <is>
          <t>Sí</t>
        </is>
      </c>
      <c r="I58" s="5" t="inlineStr">
        <is>
          <t>Viaje de negocios. Soportado por billete/factura simplificada.</t>
        </is>
      </c>
    </row>
    <row r="59">
      <c r="B59" s="17" t="n">
        <v>54</v>
      </c>
      <c r="C59" s="17" t="inlineStr">
        <is>
          <t>09/05/2026</t>
        </is>
      </c>
      <c r="D59" s="18" t="inlineStr">
        <is>
          <t>Cafeteria R Oli</t>
        </is>
      </c>
      <c r="E59" s="19" t="n">
        <v>-16.2</v>
      </c>
      <c r="F59" s="19" t="n">
        <v>16.2</v>
      </c>
      <c r="G59" s="18" t="inlineStr">
        <is>
          <t>Viajes (Manutención / Restaurante)</t>
        </is>
      </c>
      <c r="H59" s="17" t="inlineStr">
        <is>
          <t>Sí (Dieta)</t>
        </is>
      </c>
      <c r="I59" s="18" t="inlineStr">
        <is>
          <t>Gastos de manutención en viaje de negocios. Deducción sujeta a límites de dieta profesional.</t>
        </is>
      </c>
    </row>
    <row r="60">
      <c r="B60" s="7" t="n">
        <v>55</v>
      </c>
      <c r="C60" s="7" t="inlineStr">
        <is>
          <t>10/05/2026</t>
        </is>
      </c>
      <c r="D60" s="5" t="inlineStr">
        <is>
          <t>Mpass</t>
        </is>
      </c>
      <c r="E60" s="6" t="n">
        <v>-1</v>
      </c>
      <c r="F60" s="6" t="n">
        <v>1</v>
      </c>
      <c r="G60" s="5" t="inlineStr">
        <is>
          <t>Transporte (Parking / Peajes)</t>
        </is>
      </c>
      <c r="H60" s="7" t="inlineStr">
        <is>
          <t>Sí</t>
        </is>
      </c>
      <c r="I60" s="5" t="inlineStr">
        <is>
          <t>Gastos de aparcamiento y peajes por viaje profesional.</t>
        </is>
      </c>
    </row>
    <row r="61">
      <c r="B61" s="17" t="n">
        <v>56</v>
      </c>
      <c r="C61" s="17" t="inlineStr">
        <is>
          <t>11/05/2026</t>
        </is>
      </c>
      <c r="D61" s="18" t="inlineStr">
        <is>
          <t>O.r.a.</t>
        </is>
      </c>
      <c r="E61" s="19" t="n">
        <v>-0.85</v>
      </c>
      <c r="F61" s="19" t="n">
        <v>0.85</v>
      </c>
      <c r="G61" s="18" t="inlineStr">
        <is>
          <t>Transporte (Parking / Peajes)</t>
        </is>
      </c>
      <c r="H61" s="17" t="inlineStr">
        <is>
          <t>Sí</t>
        </is>
      </c>
      <c r="I61" s="18" t="inlineStr">
        <is>
          <t>Gastos de aparcamiento y peajes por viaje profesional.</t>
        </is>
      </c>
    </row>
    <row r="62">
      <c r="B62" s="7" t="n">
        <v>57</v>
      </c>
      <c r="C62" s="7" t="inlineStr">
        <is>
          <t>11/05/2026</t>
        </is>
      </c>
      <c r="D62" s="5" t="inlineStr">
        <is>
          <t>E.s. Cabrerizos</t>
        </is>
      </c>
      <c r="E62" s="6" t="n">
        <v>-30</v>
      </c>
      <c r="F62" s="6" t="n">
        <v>30</v>
      </c>
      <c r="G62" s="5" t="inlineStr">
        <is>
          <t>Vehículo (Combustible)</t>
        </is>
      </c>
      <c r="H62" s="7" t="inlineStr">
        <is>
          <t>Sí (50% IVA / 100% IRPF si afecto)</t>
        </is>
      </c>
      <c r="I62" s="5" t="inlineStr">
        <is>
          <t>Gasto de combustible para vehículo de la actividad. Deducción de IVA al 50% según regla general.</t>
        </is>
      </c>
    </row>
    <row r="63">
      <c r="B63" s="17" t="n">
        <v>58</v>
      </c>
      <c r="C63" s="17" t="inlineStr">
        <is>
          <t>11/05/2026</t>
        </is>
      </c>
      <c r="D63" s="18" t="inlineStr">
        <is>
          <t>O.r.a.</t>
        </is>
      </c>
      <c r="E63" s="19" t="n">
        <v>-1.3</v>
      </c>
      <c r="F63" s="19" t="n">
        <v>1.3</v>
      </c>
      <c r="G63" s="18" t="inlineStr">
        <is>
          <t>Transporte (Parking / Peajes)</t>
        </is>
      </c>
      <c r="H63" s="17" t="inlineStr">
        <is>
          <t>Sí</t>
        </is>
      </c>
      <c r="I63" s="18" t="inlineStr">
        <is>
          <t>Gastos de aparcamiento y peajes por viaje profesional.</t>
        </is>
      </c>
    </row>
    <row r="64">
      <c r="B64" s="7" t="n">
        <v>59</v>
      </c>
      <c r="C64" s="7" t="inlineStr">
        <is>
          <t>12/05/2026</t>
        </is>
      </c>
      <c r="D64" s="5" t="inlineStr">
        <is>
          <t>E.s. Cabrerizos</t>
        </is>
      </c>
      <c r="E64" s="6" t="n">
        <v>-30</v>
      </c>
      <c r="F64" s="6" t="n">
        <v>30</v>
      </c>
      <c r="G64" s="5" t="inlineStr">
        <is>
          <t>Vehículo (Combustible)</t>
        </is>
      </c>
      <c r="H64" s="7" t="inlineStr">
        <is>
          <t>Sí (50% IVA / 100% IRPF si afecto)</t>
        </is>
      </c>
      <c r="I64" s="5" t="inlineStr">
        <is>
          <t>Gasto de combustible para vehículo de la actividad. Deducción de IVA al 50% según regla general.</t>
        </is>
      </c>
    </row>
    <row r="65">
      <c r="B65" s="14" t="n">
        <v>60</v>
      </c>
      <c r="C65" s="14" t="inlineStr">
        <is>
          <t>13/05/2026</t>
        </is>
      </c>
      <c r="D65" s="12" t="inlineStr">
        <is>
          <t>Clinica Hernade</t>
        </is>
      </c>
      <c r="E65" s="25" t="n">
        <v>-488</v>
      </c>
      <c r="F65" s="25" t="n">
        <v>488</v>
      </c>
      <c r="G65" s="12" t="inlineStr">
        <is>
          <t>No Deducible (Gasto Personal Médico)</t>
        </is>
      </c>
      <c r="H65" s="14" t="inlineStr">
        <is>
          <t>No</t>
        </is>
      </c>
      <c r="I65" s="12" t="inlineStr">
        <is>
          <t>Gasto médico de carácter personal. No deducible para actividad profesional.</t>
        </is>
      </c>
    </row>
    <row r="66">
      <c r="B66" s="7" t="n">
        <v>61</v>
      </c>
      <c r="C66" s="7" t="inlineStr">
        <is>
          <t>14/05/2026</t>
        </is>
      </c>
      <c r="D66" s="5" t="inlineStr">
        <is>
          <t>Trainline Sas</t>
        </is>
      </c>
      <c r="E66" s="6" t="n">
        <v>-65</v>
      </c>
      <c r="F66" s="6" t="n">
        <v>65</v>
      </c>
      <c r="G66" s="5" t="inlineStr">
        <is>
          <t>Transporte (Tren)</t>
        </is>
      </c>
      <c r="H66" s="7" t="inlineStr">
        <is>
          <t>Sí</t>
        </is>
      </c>
      <c r="I66" s="5" t="inlineStr">
        <is>
          <t>Viaje de negocios. Soportado por billete/factura simplificada.</t>
        </is>
      </c>
    </row>
    <row r="67">
      <c r="B67" s="17" t="n">
        <v>62</v>
      </c>
      <c r="C67" s="17" t="inlineStr">
        <is>
          <t>14/05/2026</t>
        </is>
      </c>
      <c r="D67" s="18" t="inlineStr">
        <is>
          <t>One Hundred Restrooms Spa</t>
        </is>
      </c>
      <c r="E67" s="19" t="n">
        <v>-1</v>
      </c>
      <c r="F67" s="19" t="n">
        <v>1</v>
      </c>
      <c r="G67" s="18" t="inlineStr">
        <is>
          <t>Otros Gastos de Explotación</t>
        </is>
      </c>
      <c r="H67" s="17" t="inlineStr">
        <is>
          <t>Sí</t>
        </is>
      </c>
      <c r="I67" s="18" t="inlineStr">
        <is>
          <t>Otros gastos asociados a la actividad profesional.</t>
        </is>
      </c>
    </row>
    <row r="68">
      <c r="B68" s="7" t="n">
        <v>63</v>
      </c>
      <c r="C68" s="7" t="inlineStr">
        <is>
          <t>15/05/2026</t>
        </is>
      </c>
      <c r="D68" s="5" t="inlineStr">
        <is>
          <t>Empresa Municip</t>
        </is>
      </c>
      <c r="E68" s="6" t="n">
        <v>-1.5</v>
      </c>
      <c r="F68" s="6" t="n">
        <v>1.5</v>
      </c>
      <c r="G68" s="5" t="inlineStr">
        <is>
          <t>Otros Gastos de Explotación</t>
        </is>
      </c>
      <c r="H68" s="7" t="inlineStr">
        <is>
          <t>Sí</t>
        </is>
      </c>
      <c r="I68" s="5" t="inlineStr">
        <is>
          <t>Otros gastos asociados a la actividad profesional.</t>
        </is>
      </c>
    </row>
    <row r="69">
      <c r="B69" s="17" t="n">
        <v>64</v>
      </c>
      <c r="C69" s="17" t="inlineStr">
        <is>
          <t>15/05/2026</t>
        </is>
      </c>
      <c r="D69" s="18" t="inlineStr">
        <is>
          <t>Royal Kebab</t>
        </is>
      </c>
      <c r="E69" s="19" t="n">
        <v>-6</v>
      </c>
      <c r="F69" s="19" t="n">
        <v>6</v>
      </c>
      <c r="G69" s="18" t="inlineStr">
        <is>
          <t>Viajes (Manutención / Restaurante)</t>
        </is>
      </c>
      <c r="H69" s="17" t="inlineStr">
        <is>
          <t>Sí (Dieta)</t>
        </is>
      </c>
      <c r="I69" s="18" t="inlineStr">
        <is>
          <t>Gastos de manutención en viaje de negocios. Deducción sujeta a límites de dieta profesional.</t>
        </is>
      </c>
    </row>
    <row r="70">
      <c r="B70" s="7" t="n">
        <v>65</v>
      </c>
      <c r="C70" s="7" t="inlineStr">
        <is>
          <t>16/05/2026</t>
        </is>
      </c>
      <c r="D70" s="5" t="inlineStr">
        <is>
          <t>Cabify Es 2620ffqntwmz</t>
        </is>
      </c>
      <c r="E70" s="6" t="n">
        <v>-26.21</v>
      </c>
      <c r="F70" s="6" t="n">
        <v>26.21</v>
      </c>
      <c r="G70" s="5" t="inlineStr">
        <is>
          <t>Transporte (Taxis / VTC)</t>
        </is>
      </c>
      <c r="H70" s="7" t="inlineStr">
        <is>
          <t>Sí</t>
        </is>
      </c>
      <c r="I70" s="5" t="inlineStr">
        <is>
          <t>Desplazamiento profesional. Soportado por factura simplificada (REAV).</t>
        </is>
      </c>
    </row>
    <row r="71">
      <c r="B71" s="17" t="n">
        <v>66</v>
      </c>
      <c r="C71" s="17" t="inlineStr">
        <is>
          <t>16/05/2026</t>
        </is>
      </c>
      <c r="D71" s="18" t="inlineStr">
        <is>
          <t>Empresa Municip</t>
        </is>
      </c>
      <c r="E71" s="19" t="n">
        <v>-1.5</v>
      </c>
      <c r="F71" s="19" t="n">
        <v>1.5</v>
      </c>
      <c r="G71" s="18" t="inlineStr">
        <is>
          <t>Otros Gastos de Explotación</t>
        </is>
      </c>
      <c r="H71" s="17" t="inlineStr">
        <is>
          <t>Sí</t>
        </is>
      </c>
      <c r="I71" s="18" t="inlineStr">
        <is>
          <t>Otros gastos asociados a la actividad profesional.</t>
        </is>
      </c>
    </row>
    <row r="72">
      <c r="B72" s="7" t="n">
        <v>67</v>
      </c>
      <c r="C72" s="7" t="inlineStr">
        <is>
          <t>16/05/2026</t>
        </is>
      </c>
      <c r="D72" s="5" t="inlineStr">
        <is>
          <t>Mpass</t>
        </is>
      </c>
      <c r="E72" s="6" t="n">
        <v>-1</v>
      </c>
      <c r="F72" s="6" t="n">
        <v>1</v>
      </c>
      <c r="G72" s="5" t="inlineStr">
        <is>
          <t>Transporte (Parking / Peajes)</t>
        </is>
      </c>
      <c r="H72" s="7" t="inlineStr">
        <is>
          <t>Sí</t>
        </is>
      </c>
      <c r="I72" s="5" t="inlineStr">
        <is>
          <t>Gastos de aparcamiento y peajes por viaje profesional.</t>
        </is>
      </c>
    </row>
    <row r="73">
      <c r="B73" s="17" t="n">
        <v>68</v>
      </c>
      <c r="C73" s="17" t="inlineStr">
        <is>
          <t>16/05/2026</t>
        </is>
      </c>
      <c r="D73" s="18" t="inlineStr">
        <is>
          <t>Fgv Valencia 11</t>
        </is>
      </c>
      <c r="E73" s="19" t="n">
        <v>-2.6</v>
      </c>
      <c r="F73" s="19" t="n">
        <v>2.6</v>
      </c>
      <c r="G73" s="18" t="inlineStr">
        <is>
          <t>Transporte (Transporte Público)</t>
        </is>
      </c>
      <c r="H73" s="17" t="inlineStr">
        <is>
          <t>Sí</t>
        </is>
      </c>
      <c r="I73" s="18" t="inlineStr">
        <is>
          <t>Transporte público durante viaje de negocios.</t>
        </is>
      </c>
    </row>
    <row r="74">
      <c r="B74" s="7" t="n">
        <v>69</v>
      </c>
      <c r="C74" s="7" t="inlineStr">
        <is>
          <t>16/05/2026</t>
        </is>
      </c>
      <c r="D74" s="5" t="inlineStr">
        <is>
          <t>Bar Victoria</t>
        </is>
      </c>
      <c r="E74" s="6" t="n">
        <v>-10</v>
      </c>
      <c r="F74" s="6" t="n">
        <v>10</v>
      </c>
      <c r="G74" s="5" t="inlineStr">
        <is>
          <t>Viajes (Manutención / Restaurante)</t>
        </is>
      </c>
      <c r="H74" s="7" t="inlineStr">
        <is>
          <t>Sí (Dieta)</t>
        </is>
      </c>
      <c r="I74" s="5" t="inlineStr">
        <is>
          <t>Gastos de manutención en viaje de negocios. Deducción sujeta a límites de dieta profesional.</t>
        </is>
      </c>
    </row>
    <row r="75">
      <c r="B75" s="17" t="n">
        <v>70</v>
      </c>
      <c r="C75" s="17" t="inlineStr">
        <is>
          <t>17/05/2026</t>
        </is>
      </c>
      <c r="D75" s="18" t="inlineStr">
        <is>
          <t>Empresa Municip</t>
        </is>
      </c>
      <c r="E75" s="19" t="n">
        <v>-1.5</v>
      </c>
      <c r="F75" s="19" t="n">
        <v>1.5</v>
      </c>
      <c r="G75" s="18" t="inlineStr">
        <is>
          <t>Otros Gastos de Explotación</t>
        </is>
      </c>
      <c r="H75" s="17" t="inlineStr">
        <is>
          <t>Sí</t>
        </is>
      </c>
      <c r="I75" s="18" t="inlineStr">
        <is>
          <t>Otros gastos asociados a la actividad profesional.</t>
        </is>
      </c>
    </row>
    <row r="76">
      <c r="B76" s="7" t="n">
        <v>71</v>
      </c>
      <c r="C76" s="7" t="inlineStr">
        <is>
          <t>18/05/2026</t>
        </is>
      </c>
      <c r="D76" s="5" t="inlineStr">
        <is>
          <t>Delhaize Grimbergen</t>
        </is>
      </c>
      <c r="E76" s="6" t="n">
        <v>-40.26</v>
      </c>
      <c r="F76" s="6" t="n">
        <v>40.26</v>
      </c>
      <c r="G76" s="5" t="inlineStr">
        <is>
          <t>Viajes (Alimentación / Supermercado)</t>
        </is>
      </c>
      <c r="H76" s="7" t="inlineStr">
        <is>
          <t>Sí (Dieta)</t>
        </is>
      </c>
      <c r="I76" s="5" t="inlineStr">
        <is>
          <t>Alimentación durante estancia por viaje de negocios en el extranjero/nacional.</t>
        </is>
      </c>
    </row>
    <row r="77">
      <c r="B77" s="17" t="n">
        <v>72</v>
      </c>
      <c r="C77" s="17" t="inlineStr">
        <is>
          <t>18/05/2026</t>
        </is>
      </c>
      <c r="D77" s="18" t="inlineStr">
        <is>
          <t>Uber   *trip</t>
        </is>
      </c>
      <c r="E77" s="19" t="n">
        <v>-0.5</v>
      </c>
      <c r="F77" s="19" t="n">
        <v>0.5</v>
      </c>
      <c r="G77" s="18" t="inlineStr">
        <is>
          <t>Transporte (Taxis / VTC)</t>
        </is>
      </c>
      <c r="H77" s="17" t="inlineStr">
        <is>
          <t>Sí</t>
        </is>
      </c>
      <c r="I77" s="18" t="inlineStr">
        <is>
          <t>Desplazamiento profesional.</t>
        </is>
      </c>
    </row>
    <row r="78">
      <c r="B78" s="7" t="n">
        <v>73</v>
      </c>
      <c r="C78" s="7" t="inlineStr">
        <is>
          <t>19/05/2026</t>
        </is>
      </c>
      <c r="D78" s="5" t="inlineStr">
        <is>
          <t>Delhaize Grimbergen</t>
        </is>
      </c>
      <c r="E78" s="6" t="n">
        <v>-22.26</v>
      </c>
      <c r="F78" s="6" t="n">
        <v>22.26</v>
      </c>
      <c r="G78" s="5" t="inlineStr">
        <is>
          <t>Viajes (Alimentación / Supermercado)</t>
        </is>
      </c>
      <c r="H78" s="7" t="inlineStr">
        <is>
          <t>Sí (Dieta)</t>
        </is>
      </c>
      <c r="I78" s="5" t="inlineStr">
        <is>
          <t>Alimentación durante estancia por viaje de negocios en el extranjero/nacional.</t>
        </is>
      </c>
    </row>
    <row r="79">
      <c r="B79" s="17" t="n">
        <v>74</v>
      </c>
      <c r="C79" s="17" t="inlineStr">
        <is>
          <t>21/05/2026</t>
        </is>
      </c>
      <c r="D79" s="18" t="inlineStr">
        <is>
          <t>Delhaize Grimbergen</t>
        </is>
      </c>
      <c r="E79" s="19" t="n">
        <v>-9.15</v>
      </c>
      <c r="F79" s="19" t="n">
        <v>9.15</v>
      </c>
      <c r="G79" s="18" t="inlineStr">
        <is>
          <t>Viajes (Alimentación / Supermercado)</t>
        </is>
      </c>
      <c r="H79" s="17" t="inlineStr">
        <is>
          <t>Sí (Dieta)</t>
        </is>
      </c>
      <c r="I79" s="18" t="inlineStr">
        <is>
          <t>Alimentación durante estancia por viaje de negocios en el extranjero/nacional.</t>
        </is>
      </c>
    </row>
    <row r="80">
      <c r="B80" s="7" t="n">
        <v>75</v>
      </c>
      <c r="C80" s="7" t="inlineStr">
        <is>
          <t>23/05/2026</t>
        </is>
      </c>
      <c r="D80" s="5" t="inlineStr">
        <is>
          <t>Delhaize Grimbergen</t>
        </is>
      </c>
      <c r="E80" s="6" t="n">
        <v>-26.52</v>
      </c>
      <c r="F80" s="6" t="n">
        <v>26.52</v>
      </c>
      <c r="G80" s="5" t="inlineStr">
        <is>
          <t>Viajes (Alimentación / Supermercado)</t>
        </is>
      </c>
      <c r="H80" s="7" t="inlineStr">
        <is>
          <t>Sí (Dieta)</t>
        </is>
      </c>
      <c r="I80" s="5" t="inlineStr">
        <is>
          <t>Alimentación durante estancia por viaje de negocios en el extranjero/nacional.</t>
        </is>
      </c>
    </row>
    <row r="81">
      <c r="B81" s="17" t="n">
        <v>76</v>
      </c>
      <c r="C81" s="17" t="inlineStr">
        <is>
          <t>25/05/2026</t>
        </is>
      </c>
      <c r="D81" s="18" t="inlineStr">
        <is>
          <t>Delhaize Grimbergen</t>
        </is>
      </c>
      <c r="E81" s="19" t="n">
        <v>-10.16</v>
      </c>
      <c r="F81" s="19" t="n">
        <v>10.16</v>
      </c>
      <c r="G81" s="18" t="inlineStr">
        <is>
          <t>Viajes (Alimentación / Supermercado)</t>
        </is>
      </c>
      <c r="H81" s="17" t="inlineStr">
        <is>
          <t>Sí (Dieta)</t>
        </is>
      </c>
      <c r="I81" s="18" t="inlineStr">
        <is>
          <t>Alimentación durante estancia por viaje de negocios en el extranjero/nacional.</t>
        </is>
      </c>
    </row>
    <row r="82">
      <c r="B82" s="7" t="n">
        <v>77</v>
      </c>
      <c r="C82" s="7" t="inlineStr">
        <is>
          <t>26/05/2026</t>
        </is>
      </c>
      <c r="D82" s="5" t="inlineStr">
        <is>
          <t>Delhaize Grimbergen</t>
        </is>
      </c>
      <c r="E82" s="6" t="n">
        <v>-14.76</v>
      </c>
      <c r="F82" s="6" t="n">
        <v>14.76</v>
      </c>
      <c r="G82" s="5" t="inlineStr">
        <is>
          <t>Viajes (Alimentación / Supermercado)</t>
        </is>
      </c>
      <c r="H82" s="7" t="inlineStr">
        <is>
          <t>Sí (Dieta)</t>
        </is>
      </c>
      <c r="I82" s="5" t="inlineStr">
        <is>
          <t>Alimentación durante estancia por viaje de negocios en el extranjero/nacional.</t>
        </is>
      </c>
    </row>
    <row r="83">
      <c r="B83" s="17" t="n">
        <v>78</v>
      </c>
      <c r="C83" s="17" t="inlineStr">
        <is>
          <t>27/05/2026</t>
        </is>
      </c>
      <c r="D83" s="18" t="inlineStr">
        <is>
          <t>Nmbs  Vilvoorde Tvm</t>
        </is>
      </c>
      <c r="E83" s="19" t="n">
        <v>-7.6</v>
      </c>
      <c r="F83" s="19" t="n">
        <v>7.6</v>
      </c>
      <c r="G83" s="18" t="inlineStr">
        <is>
          <t>Transporte (Transporte Público)</t>
        </is>
      </c>
      <c r="H83" s="17" t="inlineStr">
        <is>
          <t>Sí</t>
        </is>
      </c>
      <c r="I83" s="18" t="inlineStr">
        <is>
          <t>Transporte público durante viaje de negocios.</t>
        </is>
      </c>
    </row>
    <row r="84">
      <c r="B84" s="7" t="n">
        <v>79</v>
      </c>
      <c r="C84" s="7" t="inlineStr">
        <is>
          <t>28/05/2026</t>
        </is>
      </c>
      <c r="D84" s="5" t="inlineStr">
        <is>
          <t>Crf Mkt Vilvoord</t>
        </is>
      </c>
      <c r="E84" s="6" t="n">
        <v>-13.83</v>
      </c>
      <c r="F84" s="6" t="n">
        <v>13.83</v>
      </c>
      <c r="G84" s="5" t="inlineStr">
        <is>
          <t>Viajes (Alimentación / Supermercado)</t>
        </is>
      </c>
      <c r="H84" s="7" t="inlineStr">
        <is>
          <t>Sí (Dieta)</t>
        </is>
      </c>
      <c r="I84" s="5" t="inlineStr">
        <is>
          <t>Alimentación durante estancia por viaje de negocios en el extranjero/nacional.</t>
        </is>
      </c>
    </row>
    <row r="85">
      <c r="B85" s="17" t="n">
        <v>80</v>
      </c>
      <c r="C85" s="17" t="inlineStr">
        <is>
          <t>29/05/2026</t>
        </is>
      </c>
      <c r="D85" s="18" t="inlineStr">
        <is>
          <t>Delhaize Grimbergen</t>
        </is>
      </c>
      <c r="E85" s="19" t="n">
        <v>-8.369999999999999</v>
      </c>
      <c r="F85" s="19" t="n">
        <v>8.369999999999999</v>
      </c>
      <c r="G85" s="18" t="inlineStr">
        <is>
          <t>Viajes (Alimentación / Supermercado)</t>
        </is>
      </c>
      <c r="H85" s="17" t="inlineStr">
        <is>
          <t>Sí (Dieta)</t>
        </is>
      </c>
      <c r="I85" s="18" t="inlineStr">
        <is>
          <t>Alimentación durante estancia por viaje de negocios en el extranjero/nacional.</t>
        </is>
      </c>
    </row>
    <row r="86">
      <c r="B86" s="7" t="n">
        <v>81</v>
      </c>
      <c r="C86" s="7" t="inlineStr">
        <is>
          <t>30/05/2026</t>
        </is>
      </c>
      <c r="D86" s="5" t="inlineStr">
        <is>
          <t>Taxi Licencia 1</t>
        </is>
      </c>
      <c r="E86" s="6" t="n">
        <v>-33</v>
      </c>
      <c r="F86" s="6" t="n">
        <v>33</v>
      </c>
      <c r="G86" s="5" t="inlineStr">
        <is>
          <t>Transporte (Taxis / VTC)</t>
        </is>
      </c>
      <c r="H86" s="7" t="inlineStr">
        <is>
          <t>Sí</t>
        </is>
      </c>
      <c r="I86" s="5" t="inlineStr">
        <is>
          <t>Desplazamiento profesional. Pago con tarjeta.</t>
        </is>
      </c>
    </row>
    <row r="87">
      <c r="B87" s="17" t="n">
        <v>82</v>
      </c>
      <c r="C87" s="17" t="inlineStr">
        <is>
          <t>30/05/2026</t>
        </is>
      </c>
      <c r="D87" s="18" t="inlineStr">
        <is>
          <t>Ur 802114 Airport Bar 9</t>
        </is>
      </c>
      <c r="E87" s="19" t="n">
        <v>-11.2</v>
      </c>
      <c r="F87" s="19" t="n">
        <v>11.2</v>
      </c>
      <c r="G87" s="18" t="inlineStr">
        <is>
          <t>Viajes (Manutención / Restaurante)</t>
        </is>
      </c>
      <c r="H87" s="17" t="inlineStr">
        <is>
          <t>Sí (Dieta)</t>
        </is>
      </c>
      <c r="I87" s="18" t="inlineStr">
        <is>
          <t>Gastos de manutención en viaje de negocios. Deducción sujeta a límites de dieta profesional.</t>
        </is>
      </c>
    </row>
    <row r="88">
      <c r="B88" s="7" t="n">
        <v>83</v>
      </c>
      <c r="C88" s="7" t="inlineStr">
        <is>
          <t>30/05/2026</t>
        </is>
      </c>
      <c r="D88" s="5" t="inlineStr">
        <is>
          <t>Pay*friteapapa X Scham</t>
        </is>
      </c>
      <c r="E88" s="6" t="n">
        <v>-4.5</v>
      </c>
      <c r="F88" s="6" t="n">
        <v>4.5</v>
      </c>
      <c r="G88" s="5" t="inlineStr">
        <is>
          <t>Viajes (Manutención / Restaurante)</t>
        </is>
      </c>
      <c r="H88" s="7" t="inlineStr">
        <is>
          <t>Sí (Dieta)</t>
        </is>
      </c>
      <c r="I88" s="5" t="inlineStr">
        <is>
          <t>Gastos de manutención en viaje de negocios. Deducción sujeta a límites de dieta profesional.</t>
        </is>
      </c>
    </row>
    <row r="89">
      <c r="B89" s="17" t="n">
        <v>84</v>
      </c>
      <c r="C89" s="17" t="inlineStr">
        <is>
          <t>30/05/2026</t>
        </is>
      </c>
      <c r="D89" s="18" t="inlineStr">
        <is>
          <t>Nmbs  Vilvoorde Tvm</t>
        </is>
      </c>
      <c r="E89" s="19" t="n">
        <v>-2.7</v>
      </c>
      <c r="F89" s="19" t="n">
        <v>2.7</v>
      </c>
      <c r="G89" s="18" t="inlineStr">
        <is>
          <t>Transporte (Transporte Público)</t>
        </is>
      </c>
      <c r="H89" s="17" t="inlineStr">
        <is>
          <t>Sí</t>
        </is>
      </c>
      <c r="I89" s="18" t="inlineStr">
        <is>
          <t>Transporte público durante viaje de negocios.</t>
        </is>
      </c>
    </row>
    <row r="90">
      <c r="B90" s="7" t="n">
        <v>85</v>
      </c>
      <c r="C90" s="7" t="inlineStr">
        <is>
          <t>30/05/2026</t>
        </is>
      </c>
      <c r="D90" s="5" t="inlineStr">
        <is>
          <t>Charleroi Airport</t>
        </is>
      </c>
      <c r="E90" s="6" t="n">
        <v>-1</v>
      </c>
      <c r="F90" s="6" t="n">
        <v>1</v>
      </c>
      <c r="G90" s="5" t="inlineStr">
        <is>
          <t>Otros Gastos de Explotación</t>
        </is>
      </c>
      <c r="H90" s="7" t="inlineStr">
        <is>
          <t>Sí</t>
        </is>
      </c>
      <c r="I90" s="5" t="inlineStr">
        <is>
          <t>Otros gastos asociados a la actividad profesional.</t>
        </is>
      </c>
    </row>
    <row r="91">
      <c r="B91" s="17" t="n">
        <v>86</v>
      </c>
      <c r="C91" s="17" t="inlineStr">
        <is>
          <t>30/05/2026</t>
        </is>
      </c>
      <c r="D91" s="18" t="inlineStr">
        <is>
          <t>Flibco Stwds Bxl-charlero</t>
        </is>
      </c>
      <c r="E91" s="19" t="n">
        <v>-20.59</v>
      </c>
      <c r="F91" s="19" t="n">
        <v>20.59</v>
      </c>
      <c r="G91" s="18" t="inlineStr">
        <is>
          <t>Transporte (Transporte Público)</t>
        </is>
      </c>
      <c r="H91" s="17" t="inlineStr">
        <is>
          <t>Sí</t>
        </is>
      </c>
      <c r="I91" s="18" t="inlineStr">
        <is>
          <t>Transporte público durante viaje de negocios.</t>
        </is>
      </c>
    </row>
    <row r="92">
      <c r="B92" s="7" t="n">
        <v>87</v>
      </c>
      <c r="C92" s="7" t="inlineStr">
        <is>
          <t>01/06/2026</t>
        </is>
      </c>
      <c r="D92" s="5" t="inlineStr">
        <is>
          <t>E.s. Cabrerizos</t>
        </is>
      </c>
      <c r="E92" s="6" t="n">
        <v>-20</v>
      </c>
      <c r="F92" s="6" t="n">
        <v>20</v>
      </c>
      <c r="G92" s="5" t="inlineStr">
        <is>
          <t>Vehículo (Combustible)</t>
        </is>
      </c>
      <c r="H92" s="7" t="inlineStr">
        <is>
          <t>Sí (50% IVA / 100% IRPF si afecto)</t>
        </is>
      </c>
      <c r="I92" s="5" t="inlineStr">
        <is>
          <t>Gasto de combustible para vehículo de la actividad. Deducción de IVA al 50% según regla general.</t>
        </is>
      </c>
    </row>
    <row r="93">
      <c r="B93" s="17" t="n">
        <v>88</v>
      </c>
      <c r="C93" s="17" t="inlineStr">
        <is>
          <t>01/06/2026</t>
        </is>
      </c>
      <c r="D93" s="18" t="inlineStr">
        <is>
          <t>Empark Santa Eu</t>
        </is>
      </c>
      <c r="E93" s="19" t="n">
        <v>-1.9</v>
      </c>
      <c r="F93" s="19" t="n">
        <v>1.9</v>
      </c>
      <c r="G93" s="18" t="inlineStr">
        <is>
          <t>Transporte (Parking / Peajes)</t>
        </is>
      </c>
      <c r="H93" s="17" t="inlineStr">
        <is>
          <t>Sí</t>
        </is>
      </c>
      <c r="I93" s="18" t="inlineStr">
        <is>
          <t>Gastos de aparcamiento y peajes por viaje profesional.</t>
        </is>
      </c>
    </row>
    <row r="94">
      <c r="B94" s="7" t="n">
        <v>89</v>
      </c>
      <c r="C94" s="7" t="inlineStr">
        <is>
          <t>03/06/2026</t>
        </is>
      </c>
      <c r="D94" s="5" t="inlineStr">
        <is>
          <t>Parking Clubo C</t>
        </is>
      </c>
      <c r="E94" s="6" t="n">
        <v>-3.15</v>
      </c>
      <c r="F94" s="6" t="n">
        <v>3.15</v>
      </c>
      <c r="G94" s="5" t="inlineStr">
        <is>
          <t>Transporte (Parking / Peajes)</t>
        </is>
      </c>
      <c r="H94" s="7" t="inlineStr">
        <is>
          <t>Sí</t>
        </is>
      </c>
      <c r="I94" s="5" t="inlineStr">
        <is>
          <t>Gastos de aparcamiento y peajes por viaje profesional.</t>
        </is>
      </c>
    </row>
    <row r="95">
      <c r="B95" s="17" t="n">
        <v>90</v>
      </c>
      <c r="C95" s="17" t="inlineStr">
        <is>
          <t>09/06/2026</t>
        </is>
      </c>
      <c r="D95" s="18" t="inlineStr">
        <is>
          <t>E.s. Cabrerizos</t>
        </is>
      </c>
      <c r="E95" s="19" t="n">
        <v>-20</v>
      </c>
      <c r="F95" s="19" t="n">
        <v>20</v>
      </c>
      <c r="G95" s="18" t="inlineStr">
        <is>
          <t>Vehículo (Combustible)</t>
        </is>
      </c>
      <c r="H95" s="17" t="inlineStr">
        <is>
          <t>Sí (50% IVA / 100% IRPF si afecto)</t>
        </is>
      </c>
      <c r="I95" s="18" t="inlineStr">
        <is>
          <t>Gasto de combustible para vehículo de la actividad. Deducción de IVA al 50% según regla general.</t>
        </is>
      </c>
    </row>
    <row r="96">
      <c r="B96" s="7" t="n">
        <v>91</v>
      </c>
      <c r="C96" s="7" t="inlineStr">
        <is>
          <t>10/06/2026</t>
        </is>
      </c>
      <c r="D96" s="5" t="inlineStr">
        <is>
          <t>E.s. Cabrerizos</t>
        </is>
      </c>
      <c r="E96" s="6" t="n">
        <v>-50</v>
      </c>
      <c r="F96" s="6" t="n">
        <v>50</v>
      </c>
      <c r="G96" s="5" t="inlineStr">
        <is>
          <t>Vehículo (Combustible)</t>
        </is>
      </c>
      <c r="H96" s="7" t="inlineStr">
        <is>
          <t>Sí (50% IVA / 100% IRPF si afecto)</t>
        </is>
      </c>
      <c r="I96" s="5" t="inlineStr">
        <is>
          <t>Gasto de combustible para vehículo de la actividad. Deducción de IVA al 50% según regla general.</t>
        </is>
      </c>
    </row>
    <row r="97">
      <c r="B97" s="17" t="n">
        <v>92</v>
      </c>
      <c r="C97" s="17" t="inlineStr">
        <is>
          <t>10/06/2026</t>
        </is>
      </c>
      <c r="D97" s="18" t="inlineStr">
        <is>
          <t>Perales De Taju</t>
        </is>
      </c>
      <c r="E97" s="19" t="n">
        <v>-42.1</v>
      </c>
      <c r="F97" s="19" t="n">
        <v>42.1</v>
      </c>
      <c r="G97" s="18" t="inlineStr">
        <is>
          <t>Vehículo (Combustible)</t>
        </is>
      </c>
      <c r="H97" s="17" t="inlineStr">
        <is>
          <t>Sí (50% IVA / 100% IRPF si afecto)</t>
        </is>
      </c>
      <c r="I97" s="18" t="inlineStr">
        <is>
          <t>Gasto de combustible para vehículo de la actividad. Deducción de IVA al 50% según regla general.</t>
        </is>
      </c>
    </row>
    <row r="98">
      <c r="B98" s="7" t="n">
        <v>93</v>
      </c>
      <c r="C98" s="7" t="inlineStr">
        <is>
          <t>10/06/2026</t>
        </is>
      </c>
      <c r="D98" s="5" t="inlineStr">
        <is>
          <t>Restaurante Ven</t>
        </is>
      </c>
      <c r="E98" s="6" t="n">
        <v>-11</v>
      </c>
      <c r="F98" s="6" t="n">
        <v>11</v>
      </c>
      <c r="G98" s="5" t="inlineStr">
        <is>
          <t>Viajes (Manutención / Restaurante)</t>
        </is>
      </c>
      <c r="H98" s="7" t="inlineStr">
        <is>
          <t>Sí (Dieta)</t>
        </is>
      </c>
      <c r="I98" s="5" t="inlineStr">
        <is>
          <t>Gastos de manutención en viaje de negocios. Deducción sujeta a límites de dieta profesional.</t>
        </is>
      </c>
    </row>
    <row r="99">
      <c r="B99" s="17" t="n">
        <v>94</v>
      </c>
      <c r="C99" s="17" t="inlineStr">
        <is>
          <t>13/06/2026</t>
        </is>
      </c>
      <c r="D99" s="18" t="inlineStr">
        <is>
          <t>Movilidad Mmd</t>
        </is>
      </c>
      <c r="E99" s="19" t="n">
        <v>-15.7</v>
      </c>
      <c r="F99" s="19" t="n">
        <v>15.7</v>
      </c>
      <c r="G99" s="18" t="inlineStr">
        <is>
          <t>Otros Gastos de Explotación</t>
        </is>
      </c>
      <c r="H99" s="17" t="inlineStr">
        <is>
          <t>Sí</t>
        </is>
      </c>
      <c r="I99" s="18" t="inlineStr">
        <is>
          <t>Otros gastos asociados a la actividad profesional.</t>
        </is>
      </c>
    </row>
    <row r="100">
      <c r="B100" s="7" t="n">
        <v>95</v>
      </c>
      <c r="C100" s="7" t="inlineStr">
        <is>
          <t>13/06/2026</t>
        </is>
      </c>
      <c r="D100" s="5" t="inlineStr">
        <is>
          <t>0162-consum Puz</t>
        </is>
      </c>
      <c r="E100" s="6" t="n">
        <v>-21.66</v>
      </c>
      <c r="F100" s="6" t="n">
        <v>21.66</v>
      </c>
      <c r="G100" s="5" t="inlineStr">
        <is>
          <t>Viajes (Alimentación / Supermercado)</t>
        </is>
      </c>
      <c r="H100" s="7" t="inlineStr">
        <is>
          <t>Sí (Dieta)</t>
        </is>
      </c>
      <c r="I100" s="5" t="inlineStr">
        <is>
          <t>Alimentación durante estancia por viaje de negocios en el extranjero/nacional.</t>
        </is>
      </c>
    </row>
    <row r="101">
      <c r="B101" s="17" t="n">
        <v>96</v>
      </c>
      <c r="C101" s="17" t="inlineStr">
        <is>
          <t>14/06/2026</t>
        </is>
      </c>
      <c r="D101" s="18" t="inlineStr">
        <is>
          <t>Ortiz Espin Sl</t>
        </is>
      </c>
      <c r="E101" s="19" t="n">
        <v>-60.9</v>
      </c>
      <c r="F101" s="19" t="n">
        <v>60.9</v>
      </c>
      <c r="G101" s="18" t="inlineStr">
        <is>
          <t>Otros Gastos de Explotación</t>
        </is>
      </c>
      <c r="H101" s="17" t="inlineStr">
        <is>
          <t>Sí</t>
        </is>
      </c>
      <c r="I101" s="18" t="inlineStr">
        <is>
          <t>Otros gastos asociados a la actividad profesional.</t>
        </is>
      </c>
    </row>
    <row r="102">
      <c r="B102" s="7" t="n">
        <v>97</v>
      </c>
      <c r="C102" s="26" t="n">
        <v>46189</v>
      </c>
      <c r="D102" s="5" t="inlineStr">
        <is>
          <t>Hotel Paris</t>
        </is>
      </c>
      <c r="E102" s="6" t="n">
        <v>-59.14</v>
      </c>
      <c r="F102" s="6" t="n">
        <v>59.14</v>
      </c>
      <c r="G102" s="5" t="inlineStr">
        <is>
          <t>Viajes (Alojamiento)</t>
        </is>
      </c>
      <c r="H102" s="7" t="inlineStr">
        <is>
          <t>Sí</t>
        </is>
      </c>
      <c r="I102" s="5" t="inlineStr">
        <is>
          <t>Alojamiento por viaje de negocios fuera del municipio habitual.</t>
        </is>
      </c>
    </row>
    <row r="103">
      <c r="B103" s="17" t="n">
        <v>98</v>
      </c>
      <c r="C103" s="17" t="inlineStr">
        <is>
          <t>16/06/2026</t>
        </is>
      </c>
      <c r="D103" s="18" t="inlineStr">
        <is>
          <t>Cepsa Carbajal</t>
        </is>
      </c>
      <c r="E103" s="19" t="n">
        <v>-50</v>
      </c>
      <c r="F103" s="19" t="n">
        <v>50</v>
      </c>
      <c r="G103" s="18" t="inlineStr">
        <is>
          <t>Vehículo (Combustible)</t>
        </is>
      </c>
      <c r="H103" s="17" t="inlineStr">
        <is>
          <t>Sí (50% IVA / 100% IRPF si afecto)</t>
        </is>
      </c>
      <c r="I103" s="18" t="inlineStr">
        <is>
          <t>Gasto de combustible para vehículo de la actividad. Deducción de IVA al 50% según regla general.</t>
        </is>
      </c>
    </row>
    <row r="104">
      <c r="B104" s="7" t="n">
        <v>99</v>
      </c>
      <c r="C104" s="7" t="inlineStr">
        <is>
          <t>22/06/2026</t>
        </is>
      </c>
      <c r="D104" s="5" t="inlineStr">
        <is>
          <t>E.s. Villa Huer</t>
        </is>
      </c>
      <c r="E104" s="6" t="n">
        <v>-54.65</v>
      </c>
      <c r="F104" s="6" t="n">
        <v>54.65</v>
      </c>
      <c r="G104" s="5" t="inlineStr">
        <is>
          <t>Vehículo (Combustible)</t>
        </is>
      </c>
      <c r="H104" s="7" t="inlineStr">
        <is>
          <t>Sí (50% IVA / 100% IRPF si afecto)</t>
        </is>
      </c>
      <c r="I104" s="5" t="inlineStr">
        <is>
          <t>Gasto de combustible para vehículo de la actividad. Deducción de IVA al 50% según regla general.</t>
        </is>
      </c>
    </row>
    <row r="105">
      <c r="B105" s="17" t="n">
        <v>100</v>
      </c>
      <c r="C105" s="17" t="inlineStr">
        <is>
          <t>22/06/2026</t>
        </is>
      </c>
      <c r="D105" s="18" t="inlineStr">
        <is>
          <t>Rte. Gasolprice</t>
        </is>
      </c>
      <c r="E105" s="19" t="n">
        <v>-3.4</v>
      </c>
      <c r="F105" s="19" t="n">
        <v>3.4</v>
      </c>
      <c r="G105" s="18" t="inlineStr">
        <is>
          <t>Vehículo (Combustible)</t>
        </is>
      </c>
      <c r="H105" s="17" t="inlineStr">
        <is>
          <t>Sí (50% IVA / 100% IRPF si afecto)</t>
        </is>
      </c>
      <c r="I105" s="18" t="inlineStr">
        <is>
          <t>Gasto de combustible para vehículo de la actividad. Deducción de IVA al 50% según regla general.</t>
        </is>
      </c>
    </row>
    <row r="106">
      <c r="B106" s="7" t="n">
        <v>101</v>
      </c>
      <c r="C106" s="7" t="inlineStr">
        <is>
          <t>22/06/2026</t>
        </is>
      </c>
      <c r="D106" s="5" t="inlineStr">
        <is>
          <t>Expendeduria N</t>
        </is>
      </c>
      <c r="E106" s="6" t="n">
        <v>-6</v>
      </c>
      <c r="F106" s="6" t="n">
        <v>6</v>
      </c>
      <c r="G106" s="5" t="inlineStr">
        <is>
          <t>Otros Gastos de Explotación</t>
        </is>
      </c>
      <c r="H106" s="7" t="inlineStr">
        <is>
          <t>Sí</t>
        </is>
      </c>
      <c r="I106" s="5" t="inlineStr">
        <is>
          <t>Otros gastos asociados a la actividad profesional.</t>
        </is>
      </c>
    </row>
    <row r="107">
      <c r="B107" s="17" t="n">
        <v>102</v>
      </c>
      <c r="C107" s="17" t="inlineStr">
        <is>
          <t>22/06/2026</t>
        </is>
      </c>
      <c r="D107" s="18" t="inlineStr">
        <is>
          <t>Ph Tapas Cafes</t>
        </is>
      </c>
      <c r="E107" s="19" t="n">
        <v>-3.8</v>
      </c>
      <c r="F107" s="19" t="n">
        <v>3.8</v>
      </c>
      <c r="G107" s="18" t="inlineStr">
        <is>
          <t>Viajes (Manutención / Restaurante)</t>
        </is>
      </c>
      <c r="H107" s="17" t="inlineStr">
        <is>
          <t>Sí (Dieta)</t>
        </is>
      </c>
      <c r="I107" s="18" t="inlineStr">
        <is>
          <t>Gastos de manutención en viaje de negocios. Deducción sujeta a límites de dieta profesional.</t>
        </is>
      </c>
    </row>
    <row r="108">
      <c r="B108" s="7" t="n">
        <v>103</v>
      </c>
      <c r="C108" s="7" t="inlineStr">
        <is>
          <t>22/06/2026</t>
        </is>
      </c>
      <c r="D108" s="5" t="inlineStr">
        <is>
          <t>Restaurante Sal</t>
        </is>
      </c>
      <c r="E108" s="6" t="n">
        <v>-16.9</v>
      </c>
      <c r="F108" s="6" t="n">
        <v>16.9</v>
      </c>
      <c r="G108" s="5" t="inlineStr">
        <is>
          <t>Viajes (Manutención / Restaurante)</t>
        </is>
      </c>
      <c r="H108" s="7" t="inlineStr">
        <is>
          <t>Sí (Dieta)</t>
        </is>
      </c>
      <c r="I108" s="5" t="inlineStr">
        <is>
          <t>Gastos de manutención en viaje de negocios. Deducción sujeta a límites de dieta profesional.</t>
        </is>
      </c>
    </row>
    <row r="109">
      <c r="B109" s="17" t="n">
        <v>104</v>
      </c>
      <c r="C109" s="17" t="inlineStr">
        <is>
          <t>22/06/2026</t>
        </is>
      </c>
      <c r="D109" s="18" t="inlineStr">
        <is>
          <t>Casino Pinseque</t>
        </is>
      </c>
      <c r="E109" s="19" t="n">
        <v>-4.4</v>
      </c>
      <c r="F109" s="19" t="n">
        <v>4.4</v>
      </c>
      <c r="G109" s="18" t="inlineStr">
        <is>
          <t>Otros Gastos de Explotación</t>
        </is>
      </c>
      <c r="H109" s="17" t="inlineStr">
        <is>
          <t>Sí</t>
        </is>
      </c>
      <c r="I109" s="18" t="inlineStr">
        <is>
          <t>Otros gastos asociados a la actividad profesional.</t>
        </is>
      </c>
    </row>
    <row r="110">
      <c r="B110" s="7" t="n">
        <v>105</v>
      </c>
      <c r="C110" s="7" t="inlineStr">
        <is>
          <t>23/06/2026</t>
        </is>
      </c>
      <c r="D110" s="5" t="inlineStr">
        <is>
          <t>Movilidad Mmd</t>
        </is>
      </c>
      <c r="E110" s="6" t="n">
        <v>-13</v>
      </c>
      <c r="F110" s="6" t="n">
        <v>13</v>
      </c>
      <c r="G110" s="5" t="inlineStr">
        <is>
          <t>Otros Gastos de Explotación</t>
        </is>
      </c>
      <c r="H110" s="7" t="inlineStr">
        <is>
          <t>Sí</t>
        </is>
      </c>
      <c r="I110" s="5" t="inlineStr">
        <is>
          <t>Otros gastos asociados a la actividad profesional.</t>
        </is>
      </c>
    </row>
    <row r="111">
      <c r="B111" s="17" t="n">
        <v>106</v>
      </c>
      <c r="C111" s="17" t="inlineStr">
        <is>
          <t>23/06/2026</t>
        </is>
      </c>
      <c r="D111" s="18" t="inlineStr">
        <is>
          <t>Area 103</t>
        </is>
      </c>
      <c r="E111" s="19" t="n">
        <v>-6.85</v>
      </c>
      <c r="F111" s="19" t="n">
        <v>6.85</v>
      </c>
      <c r="G111" s="18" t="inlineStr">
        <is>
          <t>Otros Gastos de Explotación</t>
        </is>
      </c>
      <c r="H111" s="17" t="inlineStr">
        <is>
          <t>Sí</t>
        </is>
      </c>
      <c r="I111" s="18" t="inlineStr">
        <is>
          <t>Otros gastos asociados a la actividad profesional.</t>
        </is>
      </c>
    </row>
    <row r="112">
      <c r="B112" s="7" t="n">
        <v>107</v>
      </c>
      <c r="C112" s="7" t="inlineStr">
        <is>
          <t>23/06/2026</t>
        </is>
      </c>
      <c r="D112" s="5" t="inlineStr">
        <is>
          <t>Moeve Muñogrand</t>
        </is>
      </c>
      <c r="E112" s="6" t="n">
        <v>-50.95</v>
      </c>
      <c r="F112" s="6" t="n">
        <v>50.95</v>
      </c>
      <c r="G112" s="5" t="inlineStr">
        <is>
          <t>Vehículo (Combustible)</t>
        </is>
      </c>
      <c r="H112" s="7" t="inlineStr">
        <is>
          <t>Sí (50% IVA / 100% IRPF si afecto)</t>
        </is>
      </c>
      <c r="I112" s="5" t="inlineStr">
        <is>
          <t>Gasto de combustible para vehículo de la actividad. Deducción de IVA al 50% según regla general.</t>
        </is>
      </c>
    </row>
    <row r="113">
      <c r="B113" s="17" t="n">
        <v>108</v>
      </c>
      <c r="C113" s="17" t="inlineStr">
        <is>
          <t>24/06/2026</t>
        </is>
      </c>
      <c r="D113" s="18" t="inlineStr">
        <is>
          <t>Itv Castellanos</t>
        </is>
      </c>
      <c r="E113" s="19" t="n">
        <v>-60.51</v>
      </c>
      <c r="F113" s="19" t="n">
        <v>60.51</v>
      </c>
      <c r="G113" s="18" t="inlineStr">
        <is>
          <t>Vehículo (Mantenimiento ITV)</t>
        </is>
      </c>
      <c r="H113" s="17" t="inlineStr">
        <is>
          <t>Sí (100% IRPF si afecto)</t>
        </is>
      </c>
      <c r="I113" s="18" t="inlineStr">
        <is>
          <t>Inspección técnica de vehículo comercial.</t>
        </is>
      </c>
    </row>
    <row r="114">
      <c r="B114" s="7" t="n">
        <v>109</v>
      </c>
      <c r="C114" s="7" t="inlineStr">
        <is>
          <t>24/06/2026</t>
        </is>
      </c>
      <c r="D114" s="5" t="inlineStr">
        <is>
          <t>O.r.a.</t>
        </is>
      </c>
      <c r="E114" s="6" t="n">
        <v>-0.95</v>
      </c>
      <c r="F114" s="6" t="n">
        <v>0.95</v>
      </c>
      <c r="G114" s="5" t="inlineStr">
        <is>
          <t>Transporte (Parking / Peajes)</t>
        </is>
      </c>
      <c r="H114" s="7" t="inlineStr">
        <is>
          <t>Sí</t>
        </is>
      </c>
      <c r="I114" s="5" t="inlineStr">
        <is>
          <t>Gastos de aparcamiento y peajes por viaje profesional.</t>
        </is>
      </c>
    </row>
    <row r="115">
      <c r="B115" s="17" t="n">
        <v>110</v>
      </c>
      <c r="C115" s="17" t="inlineStr">
        <is>
          <t>26/06/2026</t>
        </is>
      </c>
      <c r="D115" s="18" t="inlineStr">
        <is>
          <t>Movilidad Mmd</t>
        </is>
      </c>
      <c r="E115" s="19" t="n">
        <v>-13</v>
      </c>
      <c r="F115" s="19" t="n">
        <v>13</v>
      </c>
      <c r="G115" s="18" t="inlineStr">
        <is>
          <t>Otros Gastos de Explotación</t>
        </is>
      </c>
      <c r="H115" s="17" t="inlineStr">
        <is>
          <t>Sí</t>
        </is>
      </c>
      <c r="I115" s="18" t="inlineStr">
        <is>
          <t>Otros gastos asociados a la actividad profesional.</t>
        </is>
      </c>
    </row>
    <row r="116">
      <c r="B116" s="7" t="n">
        <v>111</v>
      </c>
      <c r="C116" s="7" t="inlineStr">
        <is>
          <t>26/06/2026</t>
        </is>
      </c>
      <c r="D116" s="5" t="inlineStr">
        <is>
          <t>Recauchutados F</t>
        </is>
      </c>
      <c r="E116" s="6" t="n">
        <v>-261.09</v>
      </c>
      <c r="F116" s="6" t="n">
        <v>261.09</v>
      </c>
      <c r="G116" s="5" t="inlineStr">
        <is>
          <t>Vehículo (Mantenimiento Mecánico)</t>
        </is>
      </c>
      <c r="H116" s="7" t="inlineStr">
        <is>
          <t>Sí (100% IRPF si afecto)</t>
        </is>
      </c>
      <c r="I116" s="5" t="inlineStr">
        <is>
          <t>Mantenimiento del vehículo afecto a la actividad (neumáticos).</t>
        </is>
      </c>
    </row>
    <row r="117">
      <c r="B117" s="21" t="n"/>
      <c r="C117" s="21" t="n"/>
      <c r="D117" s="22" t="inlineStr">
        <is>
          <t>TOTALES</t>
        </is>
      </c>
      <c r="E117" s="23">
        <f>SUM(E6:E116)</f>
        <v/>
      </c>
      <c r="F117" s="23">
        <f>SUM(F6:F116)</f>
        <v/>
      </c>
      <c r="G117" s="21" t="n"/>
      <c r="H117" s="21" t="n"/>
      <c r="I117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2026-07-13T18:37:10Z</dcterms:created>
  <dcterms:modified xsi:type="dcterms:W3CDTF">2026-07-13T18:37:11Z</dcterms:modified>
</cp:coreProperties>
</file>