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o 303 (IVA 3T 2026)" sheetId="1" state="visible" r:id="rId1"/>
    <sheet xmlns:r="http://schemas.openxmlformats.org/officeDocument/2006/relationships" name="Modelo 111 (IRPF 3T 2026)" sheetId="2" state="visible" r:id="rId2"/>
    <sheet xmlns:r="http://schemas.openxmlformats.org/officeDocument/2006/relationships" name="Tributos Municipales 3T 202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€"/>
    <numFmt numFmtId="165" formatCode="0.0%"/>
  </numFmts>
  <fonts count="8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i val="1"/>
      <sz val="11"/>
    </font>
    <font>
      <name val="Arial"/>
      <b val="1"/>
      <color rgb="001F4E78"/>
      <sz val="12"/>
    </font>
    <font>
      <name val="Arial"/>
      <b val="1"/>
      <color rgb="00FFFFFF"/>
      <sz val="11"/>
    </font>
    <font>
      <name val="Arial"/>
      <b val="1"/>
      <color rgb="00000000"/>
      <sz val="11"/>
    </font>
    <font>
      <name val="Arial"/>
      <sz val="10"/>
    </font>
    <font>
      <name val="Arial"/>
      <b val="1"/>
      <color rgb="00006100"/>
      <sz val="11"/>
    </font>
  </fonts>
  <fills count="7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1F4E78"/>
        <bgColor rgb="001F4E78"/>
      </patternFill>
    </fill>
    <fill>
      <patternFill patternType="solid">
        <fgColor rgb="00FFEB9C"/>
        <bgColor rgb="00FFEB9C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6" fillId="0" borderId="1" pivotButton="0" quotePrefix="0" xfId="0"/>
    <xf numFmtId="164" fontId="6" fillId="0" borderId="1" pivotButton="0" quotePrefix="0" xfId="0"/>
    <xf numFmtId="165" fontId="6" fillId="0" borderId="1" pivotButton="0" quotePrefix="0" xfId="0"/>
    <xf numFmtId="0" fontId="5" fillId="3" borderId="2" pivotButton="0" quotePrefix="0" xfId="0"/>
    <xf numFmtId="164" fontId="5" fillId="3" borderId="2" pivotButton="0" quotePrefix="0" xfId="0"/>
    <xf numFmtId="0" fontId="0" fillId="3" borderId="2" pivotButton="0" quotePrefix="0" xfId="0"/>
    <xf numFmtId="0" fontId="7" fillId="4" borderId="2" pivotButton="0" quotePrefix="0" xfId="0"/>
    <xf numFmtId="164" fontId="7" fillId="4" borderId="2" pivotButton="0" quotePrefix="0" xfId="0"/>
    <xf numFmtId="0" fontId="4" fillId="5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/>
    </xf>
    <xf numFmtId="49" fontId="6" fillId="0" borderId="1" applyAlignment="1" pivotButton="0" quotePrefix="0" xfId="0">
      <alignment horizontal="center"/>
    </xf>
    <xf numFmtId="0" fontId="5" fillId="6" borderId="2" pivotButton="0" quotePrefix="0" xfId="0"/>
    <xf numFmtId="0" fontId="0" fillId="6" borderId="2" pivotButton="0" quotePrefix="0" xfId="0"/>
    <xf numFmtId="164" fontId="5" fillId="6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1" workbookViewId="0">
      <selection activeCell="A1" sqref="A1"/>
    </sheetView>
  </sheetViews>
  <sheetFormatPr baseColWidth="8" defaultRowHeight="15"/>
  <cols>
    <col width="61" customWidth="1" min="1" max="1"/>
    <col width="22" customWidth="1" min="2" max="2"/>
    <col width="12" customWidth="1" min="3" max="3"/>
    <col width="23" customWidth="1" min="4" max="4"/>
  </cols>
  <sheetData>
    <row r="1">
      <c r="A1" s="1" t="inlineStr">
        <is>
          <t>RESUMEN FISCAL MODELO 303 - LIQUIDACIÓN DE IVA (3T 2026)</t>
        </is>
      </c>
    </row>
    <row r="2">
      <c r="A2" s="2" t="inlineStr">
        <is>
          <t>Sujeto Pasivo: GRUPO EXITER ESPAÑA S.L. | NIF: B-13658109</t>
        </is>
      </c>
    </row>
    <row r="3"/>
    <row r="4">
      <c r="A4" s="3" t="inlineStr">
        <is>
          <t>1. IVA DEVENGADO (Facturas Emitidas)</t>
        </is>
      </c>
    </row>
    <row r="5">
      <c r="A5" s="4" t="inlineStr">
        <is>
          <t>Concepto / Tipo Impuesto</t>
        </is>
      </c>
      <c r="B5" s="4" t="inlineStr">
        <is>
          <t>Base Imponible (€)</t>
        </is>
      </c>
      <c r="C5" s="4" t="inlineStr">
        <is>
          <t>Tipo IVA</t>
        </is>
      </c>
      <c r="D5" s="4" t="inlineStr">
        <is>
          <t>Cuota Devengada (€)</t>
        </is>
      </c>
    </row>
    <row r="6">
      <c r="A6" s="5" t="inlineStr">
        <is>
          <t>Operaciones Régimen General (21%)</t>
        </is>
      </c>
      <c r="B6" s="6" t="n">
        <v>24708.87</v>
      </c>
      <c r="C6" s="7" t="n">
        <v>0.21</v>
      </c>
      <c r="D6" s="6">
        <f>B6*C6</f>
        <v/>
      </c>
    </row>
    <row r="7">
      <c r="A7" s="5" t="inlineStr">
        <is>
          <t>Operaciones Régimen General (10%)</t>
        </is>
      </c>
      <c r="B7" s="6" t="n">
        <v>12413.5</v>
      </c>
      <c r="C7" s="7" t="n">
        <v>0.1</v>
      </c>
      <c r="D7" s="6">
        <f>B7*C7</f>
        <v/>
      </c>
    </row>
    <row r="8">
      <c r="A8" s="8" t="inlineStr">
        <is>
          <t>TOTAL IVA DEVENGADO</t>
        </is>
      </c>
      <c r="B8" s="9">
        <f>SUM(B6:B7)</f>
        <v/>
      </c>
      <c r="C8" s="10" t="n"/>
      <c r="D8" s="9">
        <f>SUM(D6:D7)</f>
        <v/>
      </c>
    </row>
    <row r="9"/>
    <row r="10">
      <c r="A10" s="3" t="inlineStr">
        <is>
          <t>2. IVA DEDUCIBLE (Facturas Recibidas)</t>
        </is>
      </c>
    </row>
    <row r="11">
      <c r="A11" s="4" t="inlineStr">
        <is>
          <t>Concepto / Tipo Impuesto</t>
        </is>
      </c>
      <c r="B11" s="4" t="inlineStr">
        <is>
          <t>Base Imponible (€)</t>
        </is>
      </c>
      <c r="C11" s="4" t="inlineStr">
        <is>
          <t>Tipo IVA</t>
        </is>
      </c>
      <c r="D11" s="4" t="inlineStr">
        <is>
          <t>Cuota Deducible (€)</t>
        </is>
      </c>
    </row>
    <row r="12">
      <c r="A12" s="5" t="inlineStr">
        <is>
          <t>Operaciones Interiores Corrientes (21%)</t>
        </is>
      </c>
      <c r="B12" s="6" t="n">
        <v>30778.77</v>
      </c>
      <c r="C12" s="7" t="n">
        <v>0.21</v>
      </c>
      <c r="D12" s="6">
        <f>B12*C12</f>
        <v/>
      </c>
    </row>
    <row r="13">
      <c r="A13" s="5" t="inlineStr">
        <is>
          <t>Operaciones Exentas / Sin IVA (0%)</t>
        </is>
      </c>
      <c r="B13" s="6" t="n">
        <v>336.32</v>
      </c>
      <c r="C13" s="7" t="n">
        <v>0</v>
      </c>
      <c r="D13" s="6">
        <f>B13*C13</f>
        <v/>
      </c>
    </row>
    <row r="14">
      <c r="A14" s="8" t="inlineStr">
        <is>
          <t>TOTAL IVA DEDUCIBLE</t>
        </is>
      </c>
      <c r="B14" s="9">
        <f>SUM(B12:B13)</f>
        <v/>
      </c>
      <c r="C14" s="10" t="n"/>
      <c r="D14" s="9">
        <f>SUM(D12:D13)</f>
        <v/>
      </c>
    </row>
    <row r="15"/>
    <row r="16">
      <c r="A16" s="3" t="inlineStr">
        <is>
          <t>3. RESULTADO DE LA LIQUIDACIÓN (MODELO 303)</t>
        </is>
      </c>
    </row>
    <row r="17">
      <c r="A17" s="5" t="inlineStr">
        <is>
          <t>Total IVA Devengado</t>
        </is>
      </c>
      <c r="B17" s="5" t="n"/>
      <c r="C17" s="5" t="n"/>
      <c r="D17" s="6">
        <f>D8</f>
        <v/>
      </c>
    </row>
    <row r="18">
      <c r="A18" s="5" t="inlineStr">
        <is>
          <t>Total IVA Deducible</t>
        </is>
      </c>
      <c r="B18" s="5" t="n"/>
      <c r="C18" s="5" t="n"/>
      <c r="D18" s="6">
        <f>D14</f>
        <v/>
      </c>
    </row>
    <row r="19">
      <c r="A19" s="11" t="inlineStr">
        <is>
          <t>RESULTADO A INGRESAR EN HACIENDA (€)</t>
        </is>
      </c>
      <c r="D19" s="12">
        <f>D17-D18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1" workbookViewId="0">
      <selection activeCell="A1" sqref="A1"/>
    </sheetView>
  </sheetViews>
  <sheetFormatPr baseColWidth="8" defaultRowHeight="15"/>
  <cols>
    <col width="84" customWidth="1" min="1" max="1"/>
    <col width="14" customWidth="1" min="2" max="2"/>
    <col width="15" customWidth="1" min="3" max="3"/>
    <col width="17" customWidth="1" min="4" max="4"/>
    <col width="34" customWidth="1" min="5" max="5"/>
    <col width="22" customWidth="1" min="6" max="6"/>
    <col width="15" customWidth="1" min="7" max="7"/>
    <col width="25" customWidth="1" min="8" max="8"/>
  </cols>
  <sheetData>
    <row r="1">
      <c r="A1" s="1" t="inlineStr">
        <is>
          <t>RESUMEN FISCAL MODELO 111 - RETENCIONES IRPF ACTIVIDADES PROFESIONALES (3T 2026)</t>
        </is>
      </c>
    </row>
    <row r="2">
      <c r="A2" s="2" t="inlineStr">
        <is>
          <t>Sujeto Pasivo: GRUPO EXITER ESPAÑA S.L. | NIF: B-13658109</t>
        </is>
      </c>
    </row>
    <row r="3"/>
    <row r="4">
      <c r="A4" s="13" t="inlineStr">
        <is>
          <t>Nº Reg.</t>
        </is>
      </c>
      <c r="B4" s="13" t="inlineStr">
        <is>
          <t>Fecha</t>
        </is>
      </c>
      <c r="C4" s="13" t="inlineStr">
        <is>
          <t>Nº Factura</t>
        </is>
      </c>
      <c r="D4" s="13" t="inlineStr">
        <is>
          <t>NIF Perceptor</t>
        </is>
      </c>
      <c r="E4" s="13" t="inlineStr">
        <is>
          <t>Nombre Profesional / Perceptor</t>
        </is>
      </c>
      <c r="F4" s="13" t="inlineStr">
        <is>
          <t>Base Retención (€)</t>
        </is>
      </c>
      <c r="G4" s="13" t="inlineStr">
        <is>
          <t>% Retención</t>
        </is>
      </c>
      <c r="H4" s="13" t="inlineStr">
        <is>
          <t>Importe Retención (€)</t>
        </is>
      </c>
    </row>
    <row r="5">
      <c r="A5" s="14" t="n">
        <v>103</v>
      </c>
      <c r="B5" s="14" t="inlineStr">
        <is>
          <t>31/07/2026</t>
        </is>
      </c>
      <c r="C5" s="15" t="inlineStr">
        <is>
          <t>F2026/07010</t>
        </is>
      </c>
      <c r="D5" s="15" t="inlineStr">
        <is>
          <t>52411407L</t>
        </is>
      </c>
      <c r="E5" s="5" t="inlineStr">
        <is>
          <t>JOSÉ JOAQUÍN PELEGRÍN HERNANZ</t>
        </is>
      </c>
      <c r="F5" s="6" t="n">
        <v>2305</v>
      </c>
      <c r="G5" s="7" t="n">
        <v>0.15</v>
      </c>
      <c r="H5" s="6">
        <f>F5*G5</f>
        <v/>
      </c>
    </row>
    <row r="6">
      <c r="A6" s="14" t="n">
        <v>113</v>
      </c>
      <c r="B6" s="14" t="inlineStr">
        <is>
          <t>31/08/2026</t>
        </is>
      </c>
      <c r="C6" s="15" t="inlineStr">
        <is>
          <t>F2026/08011</t>
        </is>
      </c>
      <c r="D6" s="15" t="inlineStr">
        <is>
          <t>52411407L</t>
        </is>
      </c>
      <c r="E6" s="5" t="inlineStr">
        <is>
          <t>JOSÉ JOAQUÍN PELEGRÍN HERNANZ</t>
        </is>
      </c>
      <c r="F6" s="6" t="n">
        <v>1400</v>
      </c>
      <c r="G6" s="7" t="n">
        <v>0.15</v>
      </c>
      <c r="H6" s="6">
        <f>F6*G6</f>
        <v/>
      </c>
    </row>
    <row r="7">
      <c r="A7" s="14" t="n">
        <v>127</v>
      </c>
      <c r="B7" s="14" t="inlineStr">
        <is>
          <t>30/09/2026</t>
        </is>
      </c>
      <c r="C7" s="15" t="inlineStr">
        <is>
          <t>F2026/09013</t>
        </is>
      </c>
      <c r="D7" s="15" t="inlineStr">
        <is>
          <t>52411407L</t>
        </is>
      </c>
      <c r="E7" s="5" t="inlineStr">
        <is>
          <t>JOSÉ JOAQUÍN PELEGRÍN HERNANZ</t>
        </is>
      </c>
      <c r="F7" s="6" t="n">
        <v>1400</v>
      </c>
      <c r="G7" s="7" t="n">
        <v>0.15</v>
      </c>
      <c r="H7" s="6">
        <f>F7*G7</f>
        <v/>
      </c>
    </row>
    <row r="8">
      <c r="A8" s="16" t="inlineStr">
        <is>
          <t>TOTAL A INGRESAR (MODELO 111)</t>
        </is>
      </c>
      <c r="B8" s="17" t="n"/>
      <c r="C8" s="17" t="n"/>
      <c r="D8" s="17" t="n"/>
      <c r="E8" s="17" t="n"/>
      <c r="F8" s="18">
        <f>SUM(F5:F7)</f>
        <v/>
      </c>
      <c r="G8" s="17" t="n"/>
      <c r="H8" s="18">
        <f>SUM(H5:H7)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1" workbookViewId="0">
      <selection activeCell="A1" sqref="A1"/>
    </sheetView>
  </sheetViews>
  <sheetFormatPr baseColWidth="8" defaultRowHeight="15"/>
  <cols>
    <col width="105" customWidth="1" min="1" max="1"/>
    <col width="19" customWidth="1" min="2" max="2"/>
    <col width="29" customWidth="1" min="3" max="3"/>
    <col width="56" customWidth="1" min="4" max="4"/>
    <col width="29" customWidth="1" min="5" max="5"/>
    <col width="22" customWidth="1" min="6" max="6"/>
  </cols>
  <sheetData>
    <row r="1">
      <c r="A1" s="1" t="inlineStr">
        <is>
          <t>REGISTRO DE TRIBUTOS Y TASAS MUNICIPALES (ICIO / LICENCIAS) - 3T 2026</t>
        </is>
      </c>
    </row>
    <row r="2">
      <c r="A2" s="2" t="inlineStr">
        <is>
          <t>Sujeto Pasivo: GRUPO EXITER ESPAÑA S.L. | NIF: B-13658109 (Gastos no sujetosas / tributarios sin IVA)</t>
        </is>
      </c>
    </row>
    <row r="3"/>
    <row r="4">
      <c r="A4" s="13" t="inlineStr">
        <is>
          <t>Fecha Pago</t>
        </is>
      </c>
      <c r="B4" s="13" t="inlineStr">
        <is>
          <t>Tipo de Tributo</t>
        </is>
      </c>
      <c r="C4" s="13" t="inlineStr">
        <is>
          <t>Referencia / Justificante</t>
        </is>
      </c>
      <c r="D4" s="13" t="inlineStr">
        <is>
          <t>Concepto Tributario</t>
        </is>
      </c>
      <c r="E4" s="13" t="inlineStr">
        <is>
          <t>Inmueble / Emplazamiento</t>
        </is>
      </c>
      <c r="F4" s="13" t="inlineStr">
        <is>
          <t>Importe Pagado (€)</t>
        </is>
      </c>
    </row>
    <row r="5">
      <c r="A5" s="14" t="inlineStr">
        <is>
          <t>06/07/2026</t>
        </is>
      </c>
      <c r="B5" s="14" t="inlineStr">
        <is>
          <t>ICIO</t>
        </is>
      </c>
      <c r="C5" s="15" t="inlineStr">
        <is>
          <t>2640450627</t>
        </is>
      </c>
      <c r="D5" s="5" t="inlineStr">
        <is>
          <t>Impuesto sobre Construcciones, Instalaciones y Obras</t>
        </is>
      </c>
      <c r="E5" s="5" t="inlineStr">
        <is>
          <t>Avda. Comuneros, 39, 6ºO</t>
        </is>
      </c>
      <c r="F5" s="6" t="n">
        <v>37.1</v>
      </c>
    </row>
    <row r="6">
      <c r="A6" s="14" t="inlineStr">
        <is>
          <t>06/07/2026</t>
        </is>
      </c>
      <c r="B6" s="14" t="inlineStr">
        <is>
          <t>Licencia</t>
        </is>
      </c>
      <c r="C6" s="15" t="inlineStr">
        <is>
          <t>2630450630</t>
        </is>
      </c>
      <c r="D6" s="5" t="inlineStr">
        <is>
          <t>Tasa por Licencia Urbanística</t>
        </is>
      </c>
      <c r="E6" s="5" t="inlineStr">
        <is>
          <t>Avda. Comuneros, 39, 6ºO</t>
        </is>
      </c>
      <c r="F6" s="6" t="n">
        <v>61.83</v>
      </c>
    </row>
    <row r="7">
      <c r="A7" s="14" t="inlineStr">
        <is>
          <t>06/07/2026</t>
        </is>
      </c>
      <c r="B7" s="14" t="inlineStr">
        <is>
          <t>ICIO</t>
        </is>
      </c>
      <c r="C7" s="15" t="inlineStr">
        <is>
          <t>2640450616</t>
        </is>
      </c>
      <c r="D7" s="5" t="inlineStr">
        <is>
          <t>Impuesto sobre Construcciones, Instalaciones y Obras</t>
        </is>
      </c>
      <c r="E7" s="5" t="inlineStr">
        <is>
          <t>C/ Álvaro Gil, 27, 1ºM</t>
        </is>
      </c>
      <c r="F7" s="6" t="n">
        <v>20</v>
      </c>
    </row>
    <row r="8">
      <c r="A8" s="14" t="inlineStr">
        <is>
          <t>06/07/2026</t>
        </is>
      </c>
      <c r="B8" s="14" t="inlineStr">
        <is>
          <t>Licencia</t>
        </is>
      </c>
      <c r="C8" s="15" t="inlineStr">
        <is>
          <t>2630450629</t>
        </is>
      </c>
      <c r="D8" s="5" t="inlineStr">
        <is>
          <t>Tasa por Licencia Urbanística</t>
        </is>
      </c>
      <c r="E8" s="5" t="inlineStr">
        <is>
          <t>C/ Álvaro Gil, 27, 1ºM</t>
        </is>
      </c>
      <c r="F8" s="6" t="n">
        <v>61.83</v>
      </c>
    </row>
    <row r="9">
      <c r="A9" s="14" t="inlineStr">
        <is>
          <t>28/08/2026</t>
        </is>
      </c>
      <c r="B9" s="14" t="inlineStr">
        <is>
          <t>ICIO</t>
        </is>
      </c>
      <c r="C9" s="15" t="inlineStr">
        <is>
          <t>2640578613</t>
        </is>
      </c>
      <c r="D9" s="5" t="inlineStr">
        <is>
          <t>Impuesto sobre Construcciones, Instalaciones y Obras</t>
        </is>
      </c>
      <c r="E9" s="5" t="inlineStr">
        <is>
          <t>Plz. Escritores, 1-3, 3ºB</t>
        </is>
      </c>
      <c r="F9" s="6" t="n">
        <v>20</v>
      </c>
    </row>
    <row r="10">
      <c r="A10" s="14" t="inlineStr">
        <is>
          <t>28/08/2026</t>
        </is>
      </c>
      <c r="B10" s="14" t="inlineStr">
        <is>
          <t>Licencia</t>
        </is>
      </c>
      <c r="C10" s="15" t="inlineStr">
        <is>
          <t>2630578601</t>
        </is>
      </c>
      <c r="D10" s="5" t="inlineStr">
        <is>
          <t>Tasa por Licencia Urbanística</t>
        </is>
      </c>
      <c r="E10" s="5" t="inlineStr">
        <is>
          <t>Plz. Escritores, 1-3, 3ºB</t>
        </is>
      </c>
      <c r="F10" s="6" t="n">
        <v>61.83</v>
      </c>
    </row>
    <row r="11">
      <c r="A11" s="8" t="inlineStr">
        <is>
          <t>TOTAL TRIBUTOS Y TASAS MUNICIPALES</t>
        </is>
      </c>
      <c r="B11" s="10" t="n"/>
      <c r="C11" s="10" t="n"/>
      <c r="D11" s="10" t="n"/>
      <c r="E11" s="10" t="n"/>
      <c r="F11" s="9">
        <f>SUM(F5:F10)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2026-10-15T15:23:54Z</dcterms:created>
  <dcterms:modified xmlns:dcterms="http://purl.org/dc/terms/" xmlns:xsi="http://www.w3.org/2001/XMLSchema-instance" xsi:type="dcterms:W3CDTF">2026-10-15T15:23:54Z</dcterms:modified>
</cp:coreProperties>
</file>