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Recibidas 3T 2026" sheetId="1" state="visible" r:id="rId1"/>
  </sheets>
  <definedNames>
    <definedName name="_xlnm._FilterDatabase" localSheetId="0" hidden="1">'Facturas Recibidas 3T 2026'!$A$4:$L$48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2" pivotButton="0" quotePrefix="0" xfId="0"/>
    <xf numFmtId="164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23" customWidth="1" min="3" max="3"/>
    <col width="17" customWidth="1" min="4" max="4"/>
    <col width="49" customWidth="1" min="5" max="5"/>
    <col width="71" customWidth="1" min="6" max="6"/>
    <col width="22" customWidth="1" min="7" max="7"/>
    <col width="12" customWidth="1" min="8" max="8"/>
    <col width="17" customWidth="1" min="9" max="9"/>
    <col width="12" customWidth="1" min="10" max="10"/>
    <col width="22" customWidth="1" min="11" max="11"/>
    <col width="21" customWidth="1" min="12" max="12"/>
  </cols>
  <sheetData>
    <row r="1">
      <c r="A1" s="1" t="inlineStr">
        <is>
          <t>LIBRO REGISTRO DE FACTURAS RECIBIDAS - TERCER TRIMESTRE 2026</t>
        </is>
      </c>
    </row>
    <row r="2">
      <c r="A2" s="2" t="inlineStr">
        <is>
          <t>Sujeto Pasivo: GRUPO EXITER ESPAÑA S.L. | NIF: B-13658109</t>
        </is>
      </c>
    </row>
    <row r="3"/>
    <row r="4">
      <c r="A4" s="3" t="inlineStr">
        <is>
          <t>Nº Reg.</t>
        </is>
      </c>
      <c r="B4" s="3" t="inlineStr">
        <is>
          <t>Fecha Reg.</t>
        </is>
      </c>
      <c r="C4" s="3" t="inlineStr">
        <is>
          <t>Nº Factura Provedor</t>
        </is>
      </c>
      <c r="D4" s="3" t="inlineStr">
        <is>
          <t>NIF Proveedor</t>
        </is>
      </c>
      <c r="E4" s="3" t="inlineStr">
        <is>
          <t>Nombre / Razón Social</t>
        </is>
      </c>
      <c r="F4" s="3" t="inlineStr">
        <is>
          <t>Concepto / Destino</t>
        </is>
      </c>
      <c r="G4" s="3" t="inlineStr">
        <is>
          <t>Base Imponible (€)</t>
        </is>
      </c>
      <c r="H4" s="3" t="inlineStr">
        <is>
          <t>% IVA</t>
        </is>
      </c>
      <c r="I4" s="3" t="inlineStr">
        <is>
          <t>Cuota IVA (€)</t>
        </is>
      </c>
      <c r="J4" s="3" t="inlineStr">
        <is>
          <t>% IRPF</t>
        </is>
      </c>
      <c r="K4" s="3" t="inlineStr">
        <is>
          <t>Retención IRPF (€)</t>
        </is>
      </c>
      <c r="L4" s="3" t="inlineStr">
        <is>
          <t>Total Factura (€)</t>
        </is>
      </c>
    </row>
    <row r="5">
      <c r="A5" s="4" t="n">
        <v>86</v>
      </c>
      <c r="B5" s="4" t="inlineStr">
        <is>
          <t>02/07/2026</t>
        </is>
      </c>
      <c r="C5" s="5" t="inlineStr">
        <is>
          <t>14</t>
        </is>
      </c>
      <c r="D5" s="5" t="inlineStr">
        <is>
          <t>07976736Z</t>
        </is>
      </c>
      <c r="E5" s="6" t="inlineStr">
        <is>
          <t>JUAN CARLOS GONZÁLEZ CABRERA</t>
        </is>
      </c>
      <c r="F5" s="6" t="inlineStr">
        <is>
          <t>Pintura vivienda Plz. Trujillo, 17, 4º1ºF</t>
        </is>
      </c>
      <c r="G5" s="7" t="n">
        <v>2880</v>
      </c>
      <c r="H5" s="8" t="n">
        <v>0.21</v>
      </c>
      <c r="I5" s="7">
        <f>G5*H5</f>
        <v/>
      </c>
      <c r="J5" s="8" t="n">
        <v>0</v>
      </c>
      <c r="K5" s="7">
        <f>G5*J5</f>
        <v/>
      </c>
      <c r="L5" s="7" t="n">
        <v>3484.8</v>
      </c>
    </row>
    <row r="6">
      <c r="A6" s="4" t="n">
        <v>87</v>
      </c>
      <c r="B6" s="4" t="inlineStr">
        <is>
          <t>03/07/2026</t>
        </is>
      </c>
      <c r="C6" s="5" t="inlineStr">
        <is>
          <t>2610114032</t>
        </is>
      </c>
      <c r="D6" s="5" t="inlineStr">
        <is>
          <t>A82505660</t>
        </is>
      </c>
      <c r="E6" s="6" t="inlineStr">
        <is>
          <t>IDEALISTA, S.A.</t>
        </is>
      </c>
      <c r="F6" s="6" t="inlineStr">
        <is>
          <t>Servicios portal inmobiliario Julio 2026</t>
        </is>
      </c>
      <c r="G6" s="7" t="n">
        <v>195</v>
      </c>
      <c r="H6" s="8" t="n">
        <v>0.21</v>
      </c>
      <c r="I6" s="7">
        <f>G6*H6</f>
        <v/>
      </c>
      <c r="J6" s="8" t="n">
        <v>0</v>
      </c>
      <c r="K6" s="7">
        <f>G6*J6</f>
        <v/>
      </c>
      <c r="L6" s="7" t="n">
        <v>235.95</v>
      </c>
    </row>
    <row r="7">
      <c r="A7" s="4" t="n">
        <v>88</v>
      </c>
      <c r="B7" s="4" t="inlineStr">
        <is>
          <t>09/07/2026</t>
        </is>
      </c>
      <c r="C7" s="5" t="inlineStr">
        <is>
          <t>20.261.066/1</t>
        </is>
      </c>
      <c r="D7" s="5" t="inlineStr">
        <is>
          <t>70886824Y</t>
        </is>
      </c>
      <c r="E7" s="6" t="inlineStr">
        <is>
          <t>MÓNICA SÁNCHEZ BARBERO (EIMARSAN)</t>
        </is>
      </c>
      <c r="F7" s="6" t="inlineStr">
        <is>
          <t>Ventana Terradillos</t>
        </is>
      </c>
      <c r="G7" s="7" t="n">
        <v>363.22</v>
      </c>
      <c r="H7" s="8" t="n">
        <v>0.21</v>
      </c>
      <c r="I7" s="7">
        <f>G7*H7</f>
        <v/>
      </c>
      <c r="J7" s="8" t="n">
        <v>0</v>
      </c>
      <c r="K7" s="7">
        <f>G7*J7</f>
        <v/>
      </c>
      <c r="L7" s="7" t="n">
        <v>439.5</v>
      </c>
    </row>
    <row r="8">
      <c r="A8" s="4" t="n">
        <v>89</v>
      </c>
      <c r="B8" s="4" t="inlineStr">
        <is>
          <t>10/07/2026</t>
        </is>
      </c>
      <c r="C8" s="5" t="inlineStr">
        <is>
          <t>022/0002/011910</t>
        </is>
      </c>
      <c r="D8" s="5" t="inlineStr">
        <is>
          <t>B83720753</t>
        </is>
      </c>
      <c r="E8" s="6" t="inlineStr">
        <is>
          <t>BRICOLAJE BRICOMAN, S.L.U. (OBRAMAT)</t>
        </is>
      </c>
      <c r="F8" s="6" t="inlineStr">
        <is>
          <t>Materiales yeso Terradillos</t>
        </is>
      </c>
      <c r="G8" s="7" t="n">
        <v>871.3</v>
      </c>
      <c r="H8" s="8" t="n">
        <v>0.21</v>
      </c>
      <c r="I8" s="7">
        <f>G8*H8</f>
        <v/>
      </c>
      <c r="J8" s="8" t="n">
        <v>0</v>
      </c>
      <c r="K8" s="7">
        <f>G8*J8</f>
        <v/>
      </c>
      <c r="L8" s="7" t="n">
        <v>1054.27</v>
      </c>
    </row>
    <row r="9">
      <c r="A9" s="4" t="n">
        <v>90</v>
      </c>
      <c r="B9" s="4" t="inlineStr">
        <is>
          <t>14/07/2026</t>
        </is>
      </c>
      <c r="C9" s="5" t="inlineStr">
        <is>
          <t>022/0002/011977</t>
        </is>
      </c>
      <c r="D9" s="5" t="inlineStr">
        <is>
          <t>B83720753</t>
        </is>
      </c>
      <c r="E9" s="6" t="inlineStr">
        <is>
          <t>BRICOLAJE BRICOMAN, S.L.U. (OBRAMAT)</t>
        </is>
      </c>
      <c r="F9" s="6" t="inlineStr">
        <is>
          <t>Materiales yeso 2º Terradillos</t>
        </is>
      </c>
      <c r="G9" s="7" t="n">
        <v>258.83</v>
      </c>
      <c r="H9" s="8" t="n">
        <v>0.21</v>
      </c>
      <c r="I9" s="7">
        <f>G9*H9</f>
        <v/>
      </c>
      <c r="J9" s="8" t="n">
        <v>0</v>
      </c>
      <c r="K9" s="7">
        <f>G9*J9</f>
        <v/>
      </c>
      <c r="L9" s="7" t="n">
        <v>313.18</v>
      </c>
    </row>
    <row r="10">
      <c r="A10" s="4" t="n">
        <v>91</v>
      </c>
      <c r="B10" s="4" t="inlineStr">
        <is>
          <t>14/07/2026</t>
        </is>
      </c>
      <c r="C10" s="5" t="inlineStr">
        <is>
          <t>022/0002/011979</t>
        </is>
      </c>
      <c r="D10" s="5" t="inlineStr">
        <is>
          <t>B83720753</t>
        </is>
      </c>
      <c r="E10" s="6" t="inlineStr">
        <is>
          <t>BRICOLAJE BRICOMAN, S.L.U. (OBRAMAT)</t>
        </is>
      </c>
      <c r="F10" s="6" t="inlineStr">
        <is>
          <t>Materiales perfiles Terradillos</t>
        </is>
      </c>
      <c r="G10" s="7" t="n">
        <v>368.1</v>
      </c>
      <c r="H10" s="8" t="n">
        <v>0.21</v>
      </c>
      <c r="I10" s="7">
        <f>G10*H10</f>
        <v/>
      </c>
      <c r="J10" s="8" t="n">
        <v>0</v>
      </c>
      <c r="K10" s="7">
        <f>G10*J10</f>
        <v/>
      </c>
      <c r="L10" s="7" t="n">
        <v>445.4</v>
      </c>
    </row>
    <row r="11">
      <c r="A11" s="4" t="n">
        <v>92</v>
      </c>
      <c r="B11" s="4" t="inlineStr">
        <is>
          <t>14/07/2026</t>
        </is>
      </c>
      <c r="C11" s="5" t="inlineStr">
        <is>
          <t>022/0002/011980</t>
        </is>
      </c>
      <c r="D11" s="5" t="inlineStr">
        <is>
          <t>B83720753</t>
        </is>
      </c>
      <c r="E11" s="6" t="inlineStr">
        <is>
          <t>BRICOLAJE BRICOMAN, S.L.U. (OBRAMAT)</t>
        </is>
      </c>
      <c r="F11" s="6" t="inlineStr">
        <is>
          <t>Materiales hormigón Terradillos</t>
        </is>
      </c>
      <c r="G11" s="7" t="n">
        <v>283.8</v>
      </c>
      <c r="H11" s="8" t="n">
        <v>0.21</v>
      </c>
      <c r="I11" s="7">
        <f>G11*H11</f>
        <v/>
      </c>
      <c r="J11" s="8" t="n">
        <v>0</v>
      </c>
      <c r="K11" s="7">
        <f>G11*J11</f>
        <v/>
      </c>
      <c r="L11" s="7" t="n">
        <v>343.4</v>
      </c>
    </row>
    <row r="12">
      <c r="A12" s="4" t="n">
        <v>93</v>
      </c>
      <c r="B12" s="4" t="inlineStr">
        <is>
          <t>15/07/2026</t>
        </is>
      </c>
      <c r="C12" s="5" t="inlineStr">
        <is>
          <t>2459</t>
        </is>
      </c>
      <c r="D12" s="5" t="inlineStr">
        <is>
          <t>B37427787</t>
        </is>
      </c>
      <c r="E12" s="6" t="inlineStr">
        <is>
          <t>MARTÍN GARCÍA 2005, S.L. (BIGMAT)</t>
        </is>
      </c>
      <c r="F12" s="6" t="inlineStr">
        <is>
          <t>Suministro viga Morille</t>
        </is>
      </c>
      <c r="G12" s="7" t="n">
        <v>78.43000000000001</v>
      </c>
      <c r="H12" s="8" t="n">
        <v>0.21</v>
      </c>
      <c r="I12" s="7">
        <f>G12*H12</f>
        <v/>
      </c>
      <c r="J12" s="8" t="n">
        <v>0</v>
      </c>
      <c r="K12" s="7">
        <f>G12*J12</f>
        <v/>
      </c>
      <c r="L12" s="7" t="n">
        <v>94.90000000000001</v>
      </c>
    </row>
    <row r="13">
      <c r="A13" s="4" t="n">
        <v>94</v>
      </c>
      <c r="B13" s="4" t="inlineStr">
        <is>
          <t>16/07/2026</t>
        </is>
      </c>
      <c r="C13" s="5" t="inlineStr">
        <is>
          <t>20.261.069/1</t>
        </is>
      </c>
      <c r="D13" s="5" t="inlineStr">
        <is>
          <t>70886824Y</t>
        </is>
      </c>
      <c r="E13" s="6" t="inlineStr">
        <is>
          <t>MÓNICA SÁNCHEZ BARBERO (EIMARSAN)</t>
        </is>
      </c>
      <c r="F13" s="6" t="inlineStr">
        <is>
          <t>Ventana sin persiana Terradillos</t>
        </is>
      </c>
      <c r="G13" s="7" t="n">
        <v>363.22</v>
      </c>
      <c r="H13" s="8" t="n">
        <v>0.21</v>
      </c>
      <c r="I13" s="7">
        <f>G13*H13</f>
        <v/>
      </c>
      <c r="J13" s="8" t="n">
        <v>0</v>
      </c>
      <c r="K13" s="7">
        <f>G13*J13</f>
        <v/>
      </c>
      <c r="L13" s="7" t="n">
        <v>439.5</v>
      </c>
    </row>
    <row r="14">
      <c r="A14" s="4" t="n">
        <v>95</v>
      </c>
      <c r="B14" s="4" t="inlineStr">
        <is>
          <t>17/07/2026</t>
        </is>
      </c>
      <c r="C14" s="5" t="inlineStr">
        <is>
          <t>126334</t>
        </is>
      </c>
      <c r="D14" s="5" t="inlineStr">
        <is>
          <t>B37000857</t>
        </is>
      </c>
      <c r="E14" s="6" t="inlineStr">
        <is>
          <t>HIJOS DE ISAAC LÓPEZ, S.L.</t>
        </is>
      </c>
      <c r="F14" s="6" t="inlineStr">
        <is>
          <t>Suministro e instalación puerta Ctra. Ledesma</t>
        </is>
      </c>
      <c r="G14" s="7" t="n">
        <v>1018</v>
      </c>
      <c r="H14" s="8" t="n">
        <v>0.21</v>
      </c>
      <c r="I14" s="7">
        <f>G14*H14</f>
        <v/>
      </c>
      <c r="J14" s="8" t="n">
        <v>0</v>
      </c>
      <c r="K14" s="7">
        <f>G14*J14</f>
        <v/>
      </c>
      <c r="L14" s="7" t="n">
        <v>1231.78</v>
      </c>
    </row>
    <row r="15">
      <c r="A15" s="4" t="n">
        <v>96</v>
      </c>
      <c r="B15" s="4" t="inlineStr">
        <is>
          <t>17/07/2026</t>
        </is>
      </c>
      <c r="C15" s="5" t="inlineStr">
        <is>
          <t>P-067/26</t>
        </is>
      </c>
      <c r="D15" s="5" t="inlineStr">
        <is>
          <t>B37324531</t>
        </is>
      </c>
      <c r="E15" s="6" t="inlineStr">
        <is>
          <t>BLOQUE SALAMANCA, S.L.</t>
        </is>
      </c>
      <c r="F15" s="6" t="inlineStr">
        <is>
          <t>Piedras y granito CP Canalejas</t>
        </is>
      </c>
      <c r="G15" s="7" t="n">
        <v>765</v>
      </c>
      <c r="H15" s="8" t="n">
        <v>0.21</v>
      </c>
      <c r="I15" s="7">
        <f>G15*H15</f>
        <v/>
      </c>
      <c r="J15" s="8" t="n">
        <v>0</v>
      </c>
      <c r="K15" s="7">
        <f>G15*J15</f>
        <v/>
      </c>
      <c r="L15" s="7" t="n">
        <v>925.65</v>
      </c>
    </row>
    <row r="16">
      <c r="A16" s="4" t="n">
        <v>97</v>
      </c>
      <c r="B16" s="4" t="inlineStr">
        <is>
          <t>24/07/2026</t>
        </is>
      </c>
      <c r="C16" s="5" t="inlineStr">
        <is>
          <t>126339</t>
        </is>
      </c>
      <c r="D16" s="5" t="inlineStr">
        <is>
          <t>B37000857</t>
        </is>
      </c>
      <c r="E16" s="6" t="inlineStr">
        <is>
          <t>HIJOS DE ISAAC LÓPEZ, S.L.</t>
        </is>
      </c>
      <c r="F16" s="6" t="inlineStr">
        <is>
          <t>Rotulación puerta Ctra. Ledesma</t>
        </is>
      </c>
      <c r="G16" s="7" t="n">
        <v>220</v>
      </c>
      <c r="H16" s="8" t="n">
        <v>0.21</v>
      </c>
      <c r="I16" s="7">
        <f>G16*H16</f>
        <v/>
      </c>
      <c r="J16" s="8" t="n">
        <v>0</v>
      </c>
      <c r="K16" s="7">
        <f>G16*J16</f>
        <v/>
      </c>
      <c r="L16" s="7" t="n">
        <v>266.2</v>
      </c>
    </row>
    <row r="17">
      <c r="A17" s="4" t="n">
        <v>98</v>
      </c>
      <c r="B17" s="4" t="inlineStr">
        <is>
          <t>27/07/2026</t>
        </is>
      </c>
      <c r="C17" s="5" t="inlineStr">
        <is>
          <t>177</t>
        </is>
      </c>
      <c r="D17" s="5" t="inlineStr">
        <is>
          <t>52413636V</t>
        </is>
      </c>
      <c r="E17" s="6" t="inlineStr">
        <is>
          <t>JOSÉ RAÚL SÁNCHEZ SÁNCHEZ</t>
        </is>
      </c>
      <c r="F17" s="6" t="inlineStr">
        <is>
          <t>Trabajos fontanería Terradillos</t>
        </is>
      </c>
      <c r="G17" s="7" t="n">
        <v>590</v>
      </c>
      <c r="H17" s="8" t="n">
        <v>0.21</v>
      </c>
      <c r="I17" s="7">
        <f>G17*H17</f>
        <v/>
      </c>
      <c r="J17" s="8" t="n">
        <v>0</v>
      </c>
      <c r="K17" s="7">
        <f>G17*J17</f>
        <v/>
      </c>
      <c r="L17" s="7" t="n">
        <v>713.9</v>
      </c>
    </row>
    <row r="18">
      <c r="A18" s="4" t="n">
        <v>99</v>
      </c>
      <c r="B18" s="4" t="inlineStr">
        <is>
          <t>27/07/2026</t>
        </is>
      </c>
      <c r="C18" s="5" t="inlineStr">
        <is>
          <t>178</t>
        </is>
      </c>
      <c r="D18" s="5" t="inlineStr">
        <is>
          <t>52413636V</t>
        </is>
      </c>
      <c r="E18" s="6" t="inlineStr">
        <is>
          <t>JOSÉ RAÚL SÁNCHEZ SÁNCHEZ</t>
        </is>
      </c>
      <c r="F18" s="6" t="inlineStr">
        <is>
          <t>Instalación manguetas inodoro Avda. Comuneros</t>
        </is>
      </c>
      <c r="G18" s="7" t="n">
        <v>180</v>
      </c>
      <c r="H18" s="8" t="n">
        <v>0.21</v>
      </c>
      <c r="I18" s="7">
        <f>G18*H18</f>
        <v/>
      </c>
      <c r="J18" s="8" t="n">
        <v>0</v>
      </c>
      <c r="K18" s="7">
        <f>G18*J18</f>
        <v/>
      </c>
      <c r="L18" s="7" t="n">
        <v>217.8</v>
      </c>
    </row>
    <row r="19">
      <c r="A19" s="4" t="n">
        <v>100</v>
      </c>
      <c r="B19" s="4" t="inlineStr">
        <is>
          <t>28/07/2026</t>
        </is>
      </c>
      <c r="C19" s="5" t="inlineStr">
        <is>
          <t>16/26</t>
        </is>
      </c>
      <c r="D19" s="5" t="inlineStr">
        <is>
          <t>07850061A</t>
        </is>
      </c>
      <c r="E19" s="6" t="inlineStr">
        <is>
          <t>JOSÉ ÁNGEL GONZÁLEZ CABRERA</t>
        </is>
      </c>
      <c r="F19" s="6" t="inlineStr">
        <is>
          <t>Pladur Victoria y agujeros Marta Comuneros</t>
        </is>
      </c>
      <c r="G19" s="7" t="n">
        <v>1850</v>
      </c>
      <c r="H19" s="8" t="n">
        <v>0.21</v>
      </c>
      <c r="I19" s="7">
        <f>G19*H19</f>
        <v/>
      </c>
      <c r="J19" s="8" t="n">
        <v>0</v>
      </c>
      <c r="K19" s="7">
        <f>G19*J19</f>
        <v/>
      </c>
      <c r="L19" s="7" t="n">
        <v>2238.5</v>
      </c>
    </row>
    <row r="20">
      <c r="A20" s="4" t="n">
        <v>101</v>
      </c>
      <c r="B20" s="4" t="inlineStr">
        <is>
          <t>30/07/2026</t>
        </is>
      </c>
      <c r="C20" s="5" t="inlineStr">
        <is>
          <t>djm26-079</t>
        </is>
      </c>
      <c r="D20" s="5" t="inlineStr">
        <is>
          <t>71060584Z</t>
        </is>
      </c>
      <c r="E20" s="6" t="inlineStr">
        <is>
          <t>LUIS HERNÁN MAIGUA YÁÑEZ (MULTISERVICIOS DJM)</t>
        </is>
      </c>
      <c r="F20" s="6" t="inlineStr">
        <is>
          <t>Trabajos albañilería Comuneros Marta</t>
        </is>
      </c>
      <c r="G20" s="7" t="n">
        <v>3058</v>
      </c>
      <c r="H20" s="8" t="n">
        <v>0.21</v>
      </c>
      <c r="I20" s="7">
        <f>G20*H20</f>
        <v/>
      </c>
      <c r="J20" s="8" t="n">
        <v>0</v>
      </c>
      <c r="K20" s="7">
        <f>G20*J20</f>
        <v/>
      </c>
      <c r="L20" s="7" t="n">
        <v>3700.18</v>
      </c>
    </row>
    <row r="21">
      <c r="A21" s="4" t="n">
        <v>102</v>
      </c>
      <c r="B21" s="4" t="inlineStr">
        <is>
          <t>31/07/2026</t>
        </is>
      </c>
      <c r="C21" s="5" t="inlineStr">
        <is>
          <t>26/0209</t>
        </is>
      </c>
      <c r="D21" s="5" t="inlineStr">
        <is>
          <t>B37320753</t>
        </is>
      </c>
      <c r="E21" s="6" t="inlineStr">
        <is>
          <t>ALCASA CASTILLA, S.L.</t>
        </is>
      </c>
      <c r="F21" s="6" t="inlineStr">
        <is>
          <t>Mamparas Trujillo y Terradillos</t>
        </is>
      </c>
      <c r="G21" s="7" t="n">
        <v>1198.35</v>
      </c>
      <c r="H21" s="8" t="n">
        <v>0.21</v>
      </c>
      <c r="I21" s="7">
        <f>G21*H21</f>
        <v/>
      </c>
      <c r="J21" s="8" t="n">
        <v>0</v>
      </c>
      <c r="K21" s="7">
        <f>G21*J21</f>
        <v/>
      </c>
      <c r="L21" s="7" t="n">
        <v>1450</v>
      </c>
    </row>
    <row r="22">
      <c r="A22" s="4" t="n">
        <v>103</v>
      </c>
      <c r="B22" s="4" t="inlineStr">
        <is>
          <t>31/07/2026</t>
        </is>
      </c>
      <c r="C22" s="5" t="inlineStr">
        <is>
          <t>F2026/07010</t>
        </is>
      </c>
      <c r="D22" s="5" t="inlineStr">
        <is>
          <t>52411407L</t>
        </is>
      </c>
      <c r="E22" s="6" t="inlineStr">
        <is>
          <t>JOSÉ JOAQUÍN PELEGRÍN HERNANZ</t>
        </is>
      </c>
      <c r="F22" s="6" t="inlineStr">
        <is>
          <t>Honorarios asesoramiento jurídico Julio 2026</t>
        </is>
      </c>
      <c r="G22" s="7" t="n">
        <v>2305</v>
      </c>
      <c r="H22" s="8" t="n">
        <v>0.21</v>
      </c>
      <c r="I22" s="7">
        <f>G22*H22</f>
        <v/>
      </c>
      <c r="J22" s="8" t="n">
        <v>0.15</v>
      </c>
      <c r="K22" s="7">
        <f>G22*J22</f>
        <v/>
      </c>
      <c r="L22" s="7" t="n">
        <v>2443.3</v>
      </c>
    </row>
    <row r="23">
      <c r="A23" s="4" t="n">
        <v>104</v>
      </c>
      <c r="B23" s="4" t="inlineStr">
        <is>
          <t>03/08/2026</t>
        </is>
      </c>
      <c r="C23" s="5" t="inlineStr">
        <is>
          <t>2610141670</t>
        </is>
      </c>
      <c r="D23" s="5" t="inlineStr">
        <is>
          <t>A82505660</t>
        </is>
      </c>
      <c r="E23" s="6" t="inlineStr">
        <is>
          <t>IDEALISTA, S.A.</t>
        </is>
      </c>
      <c r="F23" s="6" t="inlineStr">
        <is>
          <t>Servicios portal inmobiliario Agosto 2026</t>
        </is>
      </c>
      <c r="G23" s="7" t="n">
        <v>195</v>
      </c>
      <c r="H23" s="8" t="n">
        <v>0.21</v>
      </c>
      <c r="I23" s="7">
        <f>G23*H23</f>
        <v/>
      </c>
      <c r="J23" s="8" t="n">
        <v>0</v>
      </c>
      <c r="K23" s="7">
        <f>G23*J23</f>
        <v/>
      </c>
      <c r="L23" s="7" t="n">
        <v>235.95</v>
      </c>
    </row>
    <row r="24">
      <c r="A24" s="4" t="n">
        <v>105</v>
      </c>
      <c r="B24" s="4" t="inlineStr">
        <is>
          <t>07/08/2026</t>
        </is>
      </c>
      <c r="C24" s="5" t="inlineStr">
        <is>
          <t>F/26-00977</t>
        </is>
      </c>
      <c r="D24" s="5" t="inlineStr">
        <is>
          <t>A31188283</t>
        </is>
      </c>
      <c r="E24" s="6" t="inlineStr">
        <is>
          <t>INNOVACIONES EN COMERCIO Y MANUFACTURAS, S.A.</t>
        </is>
      </c>
      <c r="F24" s="6" t="inlineStr">
        <is>
          <t>Suministro pletina Avda. Comuneros 39 6ºO</t>
        </is>
      </c>
      <c r="G24" s="7" t="n">
        <v>40.23</v>
      </c>
      <c r="H24" s="8" t="n">
        <v>0.21</v>
      </c>
      <c r="I24" s="7">
        <f>G24*H24</f>
        <v/>
      </c>
      <c r="J24" s="8" t="n">
        <v>0</v>
      </c>
      <c r="K24" s="7">
        <f>G24*J24</f>
        <v/>
      </c>
      <c r="L24" s="7" t="n">
        <v>48.68</v>
      </c>
    </row>
    <row r="25">
      <c r="A25" s="4" t="n">
        <v>106</v>
      </c>
      <c r="B25" s="4" t="inlineStr">
        <is>
          <t>17/08/2026</t>
        </is>
      </c>
      <c r="C25" s="5" t="inlineStr">
        <is>
          <t>08/2026</t>
        </is>
      </c>
      <c r="D25" s="5" t="inlineStr">
        <is>
          <t>7539079R</t>
        </is>
      </c>
      <c r="E25" s="6" t="inlineStr">
        <is>
          <t>MICHAEL HENRI JOSEPH PAUL</t>
        </is>
      </c>
      <c r="F25" s="6" t="inlineStr">
        <is>
          <t>Instalación ventanas C/ Maestro Soler 6 2º3</t>
        </is>
      </c>
      <c r="G25" s="7" t="n">
        <v>300</v>
      </c>
      <c r="H25" s="8" t="n">
        <v>0</v>
      </c>
      <c r="I25" s="7">
        <f>G25*H25</f>
        <v/>
      </c>
      <c r="J25" s="8" t="n">
        <v>0</v>
      </c>
      <c r="K25" s="7">
        <f>G25*J25</f>
        <v/>
      </c>
      <c r="L25" s="7" t="n">
        <v>300</v>
      </c>
    </row>
    <row r="26">
      <c r="A26" s="4" t="n">
        <v>107</v>
      </c>
      <c r="B26" s="4" t="inlineStr">
        <is>
          <t>17/08/2026</t>
        </is>
      </c>
      <c r="C26" s="5" t="inlineStr">
        <is>
          <t>101</t>
        </is>
      </c>
      <c r="D26" s="5" t="inlineStr">
        <is>
          <t>70796823L</t>
        </is>
      </c>
      <c r="E26" s="6" t="inlineStr">
        <is>
          <t>MARÍA LUISA HERNÁNDEZ RIVAS (SAMA)</t>
        </is>
      </c>
      <c r="F26" s="6" t="inlineStr">
        <is>
          <t>Pago primera fase puerta entrada Comuneros</t>
        </is>
      </c>
      <c r="G26" s="7" t="n">
        <v>1018</v>
      </c>
      <c r="H26" s="8" t="n">
        <v>0.21</v>
      </c>
      <c r="I26" s="7">
        <f>G26*H26</f>
        <v/>
      </c>
      <c r="J26" s="8" t="n">
        <v>0</v>
      </c>
      <c r="K26" s="7">
        <f>G26*J26</f>
        <v/>
      </c>
      <c r="L26" s="7" t="n">
        <v>1231.78</v>
      </c>
    </row>
    <row r="27">
      <c r="A27" s="4" t="n">
        <v>108</v>
      </c>
      <c r="B27" s="4" t="inlineStr">
        <is>
          <t>20/08/2026</t>
        </is>
      </c>
      <c r="C27" s="5" t="inlineStr">
        <is>
          <t>126378</t>
        </is>
      </c>
      <c r="D27" s="5" t="inlineStr">
        <is>
          <t>B37000857</t>
        </is>
      </c>
      <c r="E27" s="6" t="inlineStr">
        <is>
          <t>HIJOS DE ISAAC LÓPEZ, S.L.</t>
        </is>
      </c>
      <c r="F27" s="6" t="inlineStr">
        <is>
          <t>Tubos acero C/ Álvaro Gil</t>
        </is>
      </c>
      <c r="G27" s="7" t="n">
        <v>225</v>
      </c>
      <c r="H27" s="8" t="n">
        <v>0.21</v>
      </c>
      <c r="I27" s="7">
        <f>G27*H27</f>
        <v/>
      </c>
      <c r="J27" s="8" t="n">
        <v>0</v>
      </c>
      <c r="K27" s="7">
        <f>G27*J27</f>
        <v/>
      </c>
      <c r="L27" s="7" t="n">
        <v>272.25</v>
      </c>
    </row>
    <row r="28">
      <c r="A28" s="4" t="n">
        <v>109</v>
      </c>
      <c r="B28" s="4" t="inlineStr">
        <is>
          <t>21/08/2026</t>
        </is>
      </c>
      <c r="C28" s="5" t="inlineStr">
        <is>
          <t>102</t>
        </is>
      </c>
      <c r="D28" s="5" t="inlineStr">
        <is>
          <t>70796823L</t>
        </is>
      </c>
      <c r="E28" s="6" t="inlineStr">
        <is>
          <t>MARÍA LUISA HERNÁNDEZ RIVAS (SAMA)</t>
        </is>
      </c>
      <c r="F28" s="6" t="inlineStr">
        <is>
          <t>Puertas y parquet Comuneros Victoria</t>
        </is>
      </c>
      <c r="G28" s="7" t="n">
        <v>2100</v>
      </c>
      <c r="H28" s="8" t="n">
        <v>0.21</v>
      </c>
      <c r="I28" s="7">
        <f>G28*H28</f>
        <v/>
      </c>
      <c r="J28" s="8" t="n">
        <v>0</v>
      </c>
      <c r="K28" s="7">
        <f>G28*J28</f>
        <v/>
      </c>
      <c r="L28" s="7" t="n">
        <v>2541</v>
      </c>
    </row>
    <row r="29">
      <c r="A29" s="4" t="n">
        <v>110</v>
      </c>
      <c r="B29" s="4" t="inlineStr">
        <is>
          <t>21/08/2026</t>
        </is>
      </c>
      <c r="C29" s="5" t="inlineStr">
        <is>
          <t>022/0002/013093</t>
        </is>
      </c>
      <c r="D29" s="5" t="inlineStr">
        <is>
          <t>B83720753</t>
        </is>
      </c>
      <c r="E29" s="6" t="inlineStr">
        <is>
          <t>BRICOLAJE BRICOMAN, S.L.U. (OBRAMAT)</t>
        </is>
      </c>
      <c r="F29" s="6" t="inlineStr">
        <is>
          <t>Materiales vinilo Plz. Trujillo 17 4º1ºF</t>
        </is>
      </c>
      <c r="G29" s="7" t="n">
        <v>109.8</v>
      </c>
      <c r="H29" s="8" t="n">
        <v>0.21</v>
      </c>
      <c r="I29" s="7">
        <f>G29*H29</f>
        <v/>
      </c>
      <c r="J29" s="8" t="n">
        <v>0</v>
      </c>
      <c r="K29" s="7">
        <f>G29*J29</f>
        <v/>
      </c>
      <c r="L29" s="7" t="n">
        <v>132.86</v>
      </c>
    </row>
    <row r="30">
      <c r="A30" s="4" t="n">
        <v>111</v>
      </c>
      <c r="B30" s="4" t="inlineStr">
        <is>
          <t>27/08/2026</t>
        </is>
      </c>
      <c r="C30" s="5" t="inlineStr">
        <is>
          <t>105-C01-013083</t>
        </is>
      </c>
      <c r="D30" s="5" t="inlineStr">
        <is>
          <t>A80298839</t>
        </is>
      </c>
      <c r="E30" s="6" t="inlineStr">
        <is>
          <t>REPSOL SOLUCIONES ENERGÉTICAS, S.A.</t>
        </is>
      </c>
      <c r="F30" s="6" t="inlineStr">
        <is>
          <t>Combustible vehículo Rubén</t>
        </is>
      </c>
      <c r="G30" s="7" t="n">
        <v>31.74</v>
      </c>
      <c r="H30" s="8" t="n">
        <v>0.21</v>
      </c>
      <c r="I30" s="7">
        <f>G30*H30</f>
        <v/>
      </c>
      <c r="J30" s="8" t="n">
        <v>0</v>
      </c>
      <c r="K30" s="7">
        <f>G30*J30</f>
        <v/>
      </c>
      <c r="L30" s="7" t="n">
        <v>38.4</v>
      </c>
    </row>
    <row r="31">
      <c r="A31" s="4" t="n">
        <v>112</v>
      </c>
      <c r="B31" s="4" t="inlineStr">
        <is>
          <t>31/08/2026</t>
        </is>
      </c>
      <c r="C31" s="5" t="inlineStr">
        <is>
          <t>20.261.084/1</t>
        </is>
      </c>
      <c r="D31" s="5" t="inlineStr">
        <is>
          <t>70886824Y</t>
        </is>
      </c>
      <c r="E31" s="6" t="inlineStr">
        <is>
          <t>MÓNICA SÁNCHEZ BARBERO (EIMARSAN)</t>
        </is>
      </c>
      <c r="F31" s="6" t="inlineStr">
        <is>
          <t>Recogedores persiana Plz. Trujillo 17</t>
        </is>
      </c>
      <c r="G31" s="7" t="n">
        <v>85</v>
      </c>
      <c r="H31" s="8" t="n">
        <v>0.21</v>
      </c>
      <c r="I31" s="7">
        <f>G31*H31</f>
        <v/>
      </c>
      <c r="J31" s="8" t="n">
        <v>0</v>
      </c>
      <c r="K31" s="7">
        <f>G31*J31</f>
        <v/>
      </c>
      <c r="L31" s="7" t="n">
        <v>102.85</v>
      </c>
    </row>
    <row r="32">
      <c r="A32" s="4" t="n">
        <v>113</v>
      </c>
      <c r="B32" s="4" t="inlineStr">
        <is>
          <t>31/08/2026</t>
        </is>
      </c>
      <c r="C32" s="5" t="inlineStr">
        <is>
          <t>F2026/08011</t>
        </is>
      </c>
      <c r="D32" s="5" t="inlineStr">
        <is>
          <t>52411407L</t>
        </is>
      </c>
      <c r="E32" s="6" t="inlineStr">
        <is>
          <t>JOSÉ JOAQUÍN PELEGRÍN HERNANZ</t>
        </is>
      </c>
      <c r="F32" s="6" t="inlineStr">
        <is>
          <t>Honorarios asesoramiento jurídico Agosto 2026</t>
        </is>
      </c>
      <c r="G32" s="7" t="n">
        <v>1400</v>
      </c>
      <c r="H32" s="8" t="n">
        <v>0.21</v>
      </c>
      <c r="I32" s="7">
        <f>G32*H32</f>
        <v/>
      </c>
      <c r="J32" s="8" t="n">
        <v>0.15</v>
      </c>
      <c r="K32" s="7">
        <f>G32*J32</f>
        <v/>
      </c>
      <c r="L32" s="7" t="n">
        <v>1484</v>
      </c>
    </row>
    <row r="33">
      <c r="A33" s="4" t="n">
        <v>114</v>
      </c>
      <c r="B33" s="4" t="inlineStr">
        <is>
          <t>01/09/2026</t>
        </is>
      </c>
      <c r="C33" s="5" t="inlineStr">
        <is>
          <t>19</t>
        </is>
      </c>
      <c r="D33" s="5" t="inlineStr">
        <is>
          <t>07976736Z</t>
        </is>
      </c>
      <c r="E33" s="6" t="inlineStr">
        <is>
          <t>JUAN CARLOS GONZÁLEZ CABRERA</t>
        </is>
      </c>
      <c r="F33" s="6" t="inlineStr">
        <is>
          <t>Pintura escaparate DONPISO</t>
        </is>
      </c>
      <c r="G33" s="7" t="n">
        <v>450</v>
      </c>
      <c r="H33" s="8" t="n">
        <v>0.21</v>
      </c>
      <c r="I33" s="7">
        <f>G33*H33</f>
        <v/>
      </c>
      <c r="J33" s="8" t="n">
        <v>0</v>
      </c>
      <c r="K33" s="7">
        <f>G33*J33</f>
        <v/>
      </c>
      <c r="L33" s="7" t="n">
        <v>544.5</v>
      </c>
    </row>
    <row r="34">
      <c r="A34" s="4" t="n">
        <v>115</v>
      </c>
      <c r="B34" s="4" t="inlineStr">
        <is>
          <t>01/09/2026</t>
        </is>
      </c>
      <c r="C34" s="5" t="inlineStr">
        <is>
          <t>20</t>
        </is>
      </c>
      <c r="D34" s="5" t="inlineStr">
        <is>
          <t>07976736Z</t>
        </is>
      </c>
      <c r="E34" s="6" t="inlineStr">
        <is>
          <t>JUAN CARLOS GONZÁLEZ CABRERA</t>
        </is>
      </c>
      <c r="F34" s="6" t="inlineStr">
        <is>
          <t>Pintura vivienda C/ Álvaro Gil</t>
        </is>
      </c>
      <c r="G34" s="7" t="n">
        <v>800</v>
      </c>
      <c r="H34" s="8" t="n">
        <v>0.21</v>
      </c>
      <c r="I34" s="7">
        <f>G34*H34</f>
        <v/>
      </c>
      <c r="J34" s="8" t="n">
        <v>0</v>
      </c>
      <c r="K34" s="7">
        <f>G34*J34</f>
        <v/>
      </c>
      <c r="L34" s="7" t="n">
        <v>968</v>
      </c>
    </row>
    <row r="35">
      <c r="A35" s="4" t="n">
        <v>116</v>
      </c>
      <c r="B35" s="4" t="inlineStr">
        <is>
          <t>03/09/2026</t>
        </is>
      </c>
      <c r="C35" s="5" t="inlineStr">
        <is>
          <t>2610173620</t>
        </is>
      </c>
      <c r="D35" s="5" t="inlineStr">
        <is>
          <t>A82505660</t>
        </is>
      </c>
      <c r="E35" s="6" t="inlineStr">
        <is>
          <t>IDEALISTA, S.A.</t>
        </is>
      </c>
      <c r="F35" s="6" t="inlineStr">
        <is>
          <t>Servicios portal inmobiliario Septiembre 2026</t>
        </is>
      </c>
      <c r="G35" s="7" t="n">
        <v>195</v>
      </c>
      <c r="H35" s="8" t="n">
        <v>0.21</v>
      </c>
      <c r="I35" s="7">
        <f>G35*H35</f>
        <v/>
      </c>
      <c r="J35" s="8" t="n">
        <v>0</v>
      </c>
      <c r="K35" s="7">
        <f>G35*J35</f>
        <v/>
      </c>
      <c r="L35" s="7" t="n">
        <v>235.95</v>
      </c>
    </row>
    <row r="36">
      <c r="A36" s="4" t="n">
        <v>117</v>
      </c>
      <c r="B36" s="4" t="inlineStr">
        <is>
          <t>15/09/2026</t>
        </is>
      </c>
      <c r="C36" s="5" t="inlineStr">
        <is>
          <t>S-20269-119691</t>
        </is>
      </c>
      <c r="D36" s="5" t="inlineStr">
        <is>
          <t>US852286309</t>
        </is>
      </c>
      <c r="E36" s="6" t="inlineStr">
        <is>
          <t>WATERMARKLY (AQUA SOFT)</t>
        </is>
      </c>
      <c r="F36" s="6" t="inlineStr">
        <is>
          <t>Licencia software marca de agua fotos</t>
        </is>
      </c>
      <c r="G36" s="7" t="n">
        <v>36.32</v>
      </c>
      <c r="H36" s="8" t="n">
        <v>0</v>
      </c>
      <c r="I36" s="7">
        <f>G36*H36</f>
        <v/>
      </c>
      <c r="J36" s="8" t="n">
        <v>0</v>
      </c>
      <c r="K36" s="7">
        <f>G36*J36</f>
        <v/>
      </c>
      <c r="L36" s="7" t="n">
        <v>36.32</v>
      </c>
    </row>
    <row r="37">
      <c r="A37" s="4" t="n">
        <v>118</v>
      </c>
      <c r="B37" s="4" t="inlineStr">
        <is>
          <t>15/09/2026</t>
        </is>
      </c>
      <c r="C37" s="5" t="inlineStr">
        <is>
          <t>022/0002/013896</t>
        </is>
      </c>
      <c r="D37" s="5" t="inlineStr">
        <is>
          <t>B83720753</t>
        </is>
      </c>
      <c r="E37" s="6" t="inlineStr">
        <is>
          <t>BRICOLAJE BRICOMAN, S.L.U. (OBRAMAT)</t>
        </is>
      </c>
      <c r="F37" s="6" t="inlineStr">
        <is>
          <t>Materiales yeso cocina Plz. Escritores</t>
        </is>
      </c>
      <c r="G37" s="7" t="n">
        <v>325.32</v>
      </c>
      <c r="H37" s="8" t="n">
        <v>0.21</v>
      </c>
      <c r="I37" s="7">
        <f>G37*H37</f>
        <v/>
      </c>
      <c r="J37" s="8" t="n">
        <v>0</v>
      </c>
      <c r="K37" s="7">
        <f>G37*J37</f>
        <v/>
      </c>
      <c r="L37" s="7" t="n">
        <v>393.64</v>
      </c>
    </row>
    <row r="38">
      <c r="A38" s="4" t="n">
        <v>119</v>
      </c>
      <c r="B38" s="4" t="inlineStr">
        <is>
          <t>15/09/2026</t>
        </is>
      </c>
      <c r="C38" s="5" t="inlineStr">
        <is>
          <t>3372</t>
        </is>
      </c>
      <c r="D38" s="5" t="inlineStr">
        <is>
          <t>B37427787</t>
        </is>
      </c>
      <c r="E38" s="6" t="inlineStr">
        <is>
          <t>MARTÍN GARCÍA 2005, S.L. (BIGMAT)</t>
        </is>
      </c>
      <c r="F38" s="6" t="inlineStr">
        <is>
          <t>Azulejos y materiales cocina Plz. Escritores</t>
        </is>
      </c>
      <c r="G38" s="7" t="n">
        <v>501.9</v>
      </c>
      <c r="H38" s="8" t="n">
        <v>0.21</v>
      </c>
      <c r="I38" s="7">
        <f>G38*H38</f>
        <v/>
      </c>
      <c r="J38" s="8" t="n">
        <v>0</v>
      </c>
      <c r="K38" s="7">
        <f>G38*J38</f>
        <v/>
      </c>
      <c r="L38" s="7" t="n">
        <v>607.3</v>
      </c>
    </row>
    <row r="39">
      <c r="A39" s="4" t="n">
        <v>120</v>
      </c>
      <c r="B39" s="4" t="inlineStr">
        <is>
          <t>18/09/2026</t>
        </is>
      </c>
      <c r="C39" s="5" t="inlineStr">
        <is>
          <t>201</t>
        </is>
      </c>
      <c r="D39" s="5" t="inlineStr">
        <is>
          <t>52413636V</t>
        </is>
      </c>
      <c r="E39" s="6" t="inlineStr">
        <is>
          <t>JOSÉ RAÚL SÁNCHEZ SÁNCHEZ</t>
        </is>
      </c>
      <c r="F39" s="6" t="inlineStr">
        <is>
          <t>Instalación fregadero C/ Álvaro Gil</t>
        </is>
      </c>
      <c r="G39" s="7" t="n">
        <v>275</v>
      </c>
      <c r="H39" s="8" t="n">
        <v>0.21</v>
      </c>
      <c r="I39" s="7">
        <f>G39*H39</f>
        <v/>
      </c>
      <c r="J39" s="8" t="n">
        <v>0</v>
      </c>
      <c r="K39" s="7">
        <f>G39*J39</f>
        <v/>
      </c>
      <c r="L39" s="7" t="n">
        <v>332.75</v>
      </c>
    </row>
    <row r="40">
      <c r="A40" s="4" t="n">
        <v>121</v>
      </c>
      <c r="B40" s="4" t="inlineStr">
        <is>
          <t>19/09/2026</t>
        </is>
      </c>
      <c r="C40" s="5" t="inlineStr">
        <is>
          <t>205</t>
        </is>
      </c>
      <c r="D40" s="5" t="inlineStr">
        <is>
          <t>52413636V</t>
        </is>
      </c>
      <c r="E40" s="6" t="inlineStr">
        <is>
          <t>JOSÉ RAÚL SÁNCHEZ SÁNCHEZ</t>
        </is>
      </c>
      <c r="F40" s="6" t="inlineStr">
        <is>
          <t>Mueble baño, espejo y grifería Plz. Trujillo</t>
        </is>
      </c>
      <c r="G40" s="7" t="n">
        <v>250</v>
      </c>
      <c r="H40" s="8" t="n">
        <v>0.21</v>
      </c>
      <c r="I40" s="7">
        <f>G40*H40</f>
        <v/>
      </c>
      <c r="J40" s="8" t="n">
        <v>0</v>
      </c>
      <c r="K40" s="7">
        <f>G40*J40</f>
        <v/>
      </c>
      <c r="L40" s="7" t="n">
        <v>302.5</v>
      </c>
    </row>
    <row r="41">
      <c r="A41" s="4" t="n">
        <v>122</v>
      </c>
      <c r="B41" s="4" t="inlineStr">
        <is>
          <t>19/09/2026</t>
        </is>
      </c>
      <c r="C41" s="5" t="inlineStr">
        <is>
          <t>206</t>
        </is>
      </c>
      <c r="D41" s="5" t="inlineStr">
        <is>
          <t>52413636V</t>
        </is>
      </c>
      <c r="E41" s="6" t="inlineStr">
        <is>
          <t>JOSÉ RAÚL SÁNCHEZ SÁNCHEZ</t>
        </is>
      </c>
      <c r="F41" s="6" t="inlineStr">
        <is>
          <t>Modificación tuberías radiador Avda. Comuneros 6ºO</t>
        </is>
      </c>
      <c r="G41" s="7" t="n">
        <v>162</v>
      </c>
      <c r="H41" s="8" t="n">
        <v>0.21</v>
      </c>
      <c r="I41" s="7">
        <f>G41*H41</f>
        <v/>
      </c>
      <c r="J41" s="8" t="n">
        <v>0</v>
      </c>
      <c r="K41" s="7">
        <f>G41*J41</f>
        <v/>
      </c>
      <c r="L41" s="7" t="n">
        <v>196.02</v>
      </c>
    </row>
    <row r="42">
      <c r="A42" s="4" t="n">
        <v>123</v>
      </c>
      <c r="B42" s="4" t="inlineStr">
        <is>
          <t>21/09/2026</t>
        </is>
      </c>
      <c r="C42" s="5" t="inlineStr">
        <is>
          <t>022/0002/014167</t>
        </is>
      </c>
      <c r="D42" s="5" t="inlineStr">
        <is>
          <t>B83720753</t>
        </is>
      </c>
      <c r="E42" s="6" t="inlineStr">
        <is>
          <t>BRICOLAJE BRICOMAN, S.L.U. (OBRAMAT)</t>
        </is>
      </c>
      <c r="F42" s="6" t="inlineStr">
        <is>
          <t>Extracción cocina Plz. Escritores</t>
        </is>
      </c>
      <c r="G42" s="7" t="n">
        <v>109.8</v>
      </c>
      <c r="H42" s="8" t="n">
        <v>0.21</v>
      </c>
      <c r="I42" s="7">
        <f>G42*H42</f>
        <v/>
      </c>
      <c r="J42" s="8" t="n">
        <v>0</v>
      </c>
      <c r="K42" s="7">
        <f>G42*J42</f>
        <v/>
      </c>
      <c r="L42" s="7" t="n">
        <v>132.86</v>
      </c>
    </row>
    <row r="43">
      <c r="A43" s="4" t="n">
        <v>124</v>
      </c>
      <c r="B43" s="4" t="inlineStr">
        <is>
          <t>28/09/2026</t>
        </is>
      </c>
      <c r="C43" s="5" t="inlineStr">
        <is>
          <t>22/26</t>
        </is>
      </c>
      <c r="D43" s="5" t="inlineStr">
        <is>
          <t>07850061A</t>
        </is>
      </c>
      <c r="E43" s="6" t="inlineStr">
        <is>
          <t>JOSÉ ÁNGEL GONZÁLEZ CABRERA</t>
        </is>
      </c>
      <c r="F43" s="6" t="inlineStr">
        <is>
          <t>Pladur cocina Escritores y agujero Borrow</t>
        </is>
      </c>
      <c r="G43" s="7" t="n">
        <v>1250</v>
      </c>
      <c r="H43" s="8" t="n">
        <v>0.21</v>
      </c>
      <c r="I43" s="7">
        <f>G43*H43</f>
        <v/>
      </c>
      <c r="J43" s="8" t="n">
        <v>0</v>
      </c>
      <c r="K43" s="7">
        <f>G43*J43</f>
        <v/>
      </c>
      <c r="L43" s="7" t="n">
        <v>1512.5</v>
      </c>
    </row>
    <row r="44">
      <c r="A44" s="4" t="n">
        <v>125</v>
      </c>
      <c r="B44" s="4" t="inlineStr">
        <is>
          <t>28/09/2026</t>
        </is>
      </c>
      <c r="C44" s="5" t="inlineStr">
        <is>
          <t>1-261319</t>
        </is>
      </c>
      <c r="D44" s="5" t="inlineStr">
        <is>
          <t>B37548988</t>
        </is>
      </c>
      <c r="E44" s="6" t="inlineStr">
        <is>
          <t>CENTROLED, S.L.U.</t>
        </is>
      </c>
      <c r="F44" s="6" t="inlineStr">
        <is>
          <t>Materiales electricidad cocina Plz. Escritores</t>
        </is>
      </c>
      <c r="G44" s="7" t="n">
        <v>258.98</v>
      </c>
      <c r="H44" s="8" t="n">
        <v>0.21</v>
      </c>
      <c r="I44" s="7">
        <f>G44*H44</f>
        <v/>
      </c>
      <c r="J44" s="8" t="n">
        <v>0</v>
      </c>
      <c r="K44" s="7">
        <f>G44*J44</f>
        <v/>
      </c>
      <c r="L44" s="7" t="n">
        <v>313.37</v>
      </c>
    </row>
    <row r="45">
      <c r="A45" s="4" t="n">
        <v>126</v>
      </c>
      <c r="B45" s="4" t="inlineStr">
        <is>
          <t>29/09/2026</t>
        </is>
      </c>
      <c r="C45" s="5" t="inlineStr">
        <is>
          <t>djm26-087</t>
        </is>
      </c>
      <c r="D45" s="5" t="inlineStr">
        <is>
          <t>71060584Z</t>
        </is>
      </c>
      <c r="E45" s="6" t="inlineStr">
        <is>
          <t>LUIS HERNÁN MAIGUA YÁÑEZ (MULTISERVICIOS DJM)</t>
        </is>
      </c>
      <c r="F45" s="6" t="inlineStr">
        <is>
          <t>Trabajos albañilería cocina Escritores, Comuneros, Gil, Terradillos</t>
        </is>
      </c>
      <c r="G45" s="7" t="n">
        <v>2905</v>
      </c>
      <c r="H45" s="8" t="n">
        <v>0.21</v>
      </c>
      <c r="I45" s="7">
        <f>G45*H45</f>
        <v/>
      </c>
      <c r="J45" s="8" t="n">
        <v>0</v>
      </c>
      <c r="K45" s="7">
        <f>G45*J45</f>
        <v/>
      </c>
      <c r="L45" s="7" t="n">
        <v>3515.05</v>
      </c>
    </row>
    <row r="46">
      <c r="A46" s="4" t="n">
        <v>127</v>
      </c>
      <c r="B46" s="4" t="inlineStr">
        <is>
          <t>30/09/2026</t>
        </is>
      </c>
      <c r="C46" s="5" t="inlineStr">
        <is>
          <t>F2026/09013</t>
        </is>
      </c>
      <c r="D46" s="5" t="inlineStr">
        <is>
          <t>52411407L</t>
        </is>
      </c>
      <c r="E46" s="6" t="inlineStr">
        <is>
          <t>JOSÉ JOAQUÍN PELEGRÍN HERNANZ</t>
        </is>
      </c>
      <c r="F46" s="6" t="inlineStr">
        <is>
          <t>Honorarios asesoramiento jurídico Septiembre 2026</t>
        </is>
      </c>
      <c r="G46" s="7" t="n">
        <v>1400</v>
      </c>
      <c r="H46" s="8" t="n">
        <v>0.21</v>
      </c>
      <c r="I46" s="7">
        <f>G46*H46</f>
        <v/>
      </c>
      <c r="J46" s="8" t="n">
        <v>0.15</v>
      </c>
      <c r="K46" s="7">
        <f>G46*J46</f>
        <v/>
      </c>
      <c r="L46" s="7" t="n">
        <v>1484</v>
      </c>
    </row>
    <row r="47">
      <c r="A47" s="4" t="n">
        <v>128</v>
      </c>
      <c r="B47" s="4" t="inlineStr">
        <is>
          <t>19/08/2026</t>
        </is>
      </c>
      <c r="C47" s="5" t="inlineStr">
        <is>
          <t>022/0003/001090</t>
        </is>
      </c>
      <c r="D47" s="5" t="inlineStr">
        <is>
          <t>B83720753</t>
        </is>
      </c>
      <c r="E47" s="6" t="inlineStr">
        <is>
          <t>BRICOLAJE BRICOMAN, S.L.U. (OBRAMAT)</t>
        </is>
      </c>
      <c r="F47" s="6" t="inlineStr">
        <is>
          <t>Factura rectificativa / Devolución reparación Gomecello</t>
        </is>
      </c>
      <c r="G47" s="7" t="n">
        <v>-45.45</v>
      </c>
      <c r="H47" s="8" t="n">
        <v>0.21</v>
      </c>
      <c r="I47" s="7">
        <f>G47*H47</f>
        <v/>
      </c>
      <c r="J47" s="8" t="n">
        <v>0</v>
      </c>
      <c r="K47" s="7">
        <f>G47*J47</f>
        <v/>
      </c>
      <c r="L47" s="7" t="n">
        <v>-55</v>
      </c>
    </row>
    <row r="48">
      <c r="A48" s="4" t="n">
        <v>129</v>
      </c>
      <c r="B48" s="4" t="inlineStr">
        <is>
          <t>21/09/2026</t>
        </is>
      </c>
      <c r="C48" s="5" t="inlineStr">
        <is>
          <t>022/0003/001198</t>
        </is>
      </c>
      <c r="D48" s="5" t="inlineStr">
        <is>
          <t>B83720753</t>
        </is>
      </c>
      <c r="E48" s="6" t="inlineStr">
        <is>
          <t>BRICOLAJE BRICOMAN, S.L.U. (OBRAMAT)</t>
        </is>
      </c>
      <c r="F48" s="6" t="inlineStr">
        <is>
          <t>Factura rectificativa / Devolución vinilo Obramat</t>
        </is>
      </c>
      <c r="G48" s="7" t="n">
        <v>-109.8</v>
      </c>
      <c r="H48" s="8" t="n">
        <v>0.21</v>
      </c>
      <c r="I48" s="7">
        <f>G48*H48</f>
        <v/>
      </c>
      <c r="J48" s="8" t="n">
        <v>0</v>
      </c>
      <c r="K48" s="7">
        <f>G48*J48</f>
        <v/>
      </c>
      <c r="L48" s="7" t="n">
        <v>-132.86</v>
      </c>
    </row>
    <row r="49">
      <c r="A49" s="9" t="inlineStr">
        <is>
          <t>TOTALES</t>
        </is>
      </c>
      <c r="B49" s="9" t="n"/>
      <c r="C49" s="9" t="n"/>
      <c r="D49" s="9" t="n"/>
      <c r="E49" s="9" t="n"/>
      <c r="F49" s="9" t="n"/>
      <c r="G49" s="10">
        <f>SUM(G5:G48)</f>
        <v/>
      </c>
      <c r="H49" s="9" t="n"/>
      <c r="I49" s="10">
        <f>SUM(I5:I48)</f>
        <v/>
      </c>
      <c r="J49" s="9" t="n"/>
      <c r="K49" s="10">
        <f>SUM(K5:K48)</f>
        <v/>
      </c>
      <c r="L49" s="10">
        <f>SUM(L5:L48)</f>
        <v/>
      </c>
    </row>
  </sheetData>
  <autoFilter ref="A4:L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2026-10-15T15:23:54Z</dcterms:created>
  <dcterms:modified xmlns:dcterms="http://purl.org/dc/terms/" xmlns:xsi="http://www.w3.org/2001/XMLSchema-instance" xsi:type="dcterms:W3CDTF">2026-10-15T15:23:54Z</dcterms:modified>
</cp:coreProperties>
</file>