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 Emitidas 3T 2026" sheetId="1" state="visible" r:id="rId1"/>
  </sheets>
  <definedNames>
    <definedName name="_xlnm._FilterDatabase" localSheetId="0" hidden="1">'Facturas Emitidas 3T 2026'!$A$4:$I$18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5" fillId="3" borderId="2" pivotButton="0" quotePrefix="0" xfId="0"/>
    <xf numFmtId="164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3" customWidth="1" min="1" max="1"/>
    <col width="14" customWidth="1" min="2" max="2"/>
    <col width="15" customWidth="1" min="3" max="3"/>
    <col width="36" customWidth="1" min="4" max="4"/>
    <col width="67" customWidth="1" min="5" max="5"/>
    <col width="22" customWidth="1" min="6" max="6"/>
    <col width="12" customWidth="1" min="7" max="7"/>
    <col width="17" customWidth="1" min="8" max="8"/>
    <col width="21" customWidth="1" min="9" max="9"/>
  </cols>
  <sheetData>
    <row r="1">
      <c r="A1" s="1" t="inlineStr">
        <is>
          <t>LIBRO REGISTRO DE FACTURAS EMITIDAS - TERCER TRIMESTRE 2026</t>
        </is>
      </c>
    </row>
    <row r="2">
      <c r="A2" s="2" t="inlineStr">
        <is>
          <t>Sujeto Pasivo: GRUPO EXITER ESPAÑA S.L. | NIF: B-13658109</t>
        </is>
      </c>
    </row>
    <row r="3"/>
    <row r="4">
      <c r="A4" s="3" t="inlineStr">
        <is>
          <t>Fecha Exp.</t>
        </is>
      </c>
      <c r="B4" s="3" t="inlineStr">
        <is>
          <t>Nº Factura</t>
        </is>
      </c>
      <c r="C4" s="3" t="inlineStr">
        <is>
          <t>NIF Cliente</t>
        </is>
      </c>
      <c r="D4" s="3" t="inlineStr">
        <is>
          <t>Nombre / Razón Social</t>
        </is>
      </c>
      <c r="E4" s="3" t="inlineStr">
        <is>
          <t>Concepto / Inmueble</t>
        </is>
      </c>
      <c r="F4" s="3" t="inlineStr">
        <is>
          <t>Base Imponible (€)</t>
        </is>
      </c>
      <c r="G4" s="3" t="inlineStr">
        <is>
          <t>% IVA</t>
        </is>
      </c>
      <c r="H4" s="3" t="inlineStr">
        <is>
          <t>Cuota IVA (€)</t>
        </is>
      </c>
      <c r="I4" s="3" t="inlineStr">
        <is>
          <t>Total Factura (€)</t>
        </is>
      </c>
    </row>
    <row r="5">
      <c r="A5" s="4" t="inlineStr">
        <is>
          <t>08/07/2026</t>
        </is>
      </c>
      <c r="B5" s="5" t="inlineStr">
        <is>
          <t>F0726018</t>
        </is>
      </c>
      <c r="C5" s="5" t="inlineStr">
        <is>
          <t>03909382A</t>
        </is>
      </c>
      <c r="D5" s="6" t="inlineStr">
        <is>
          <t>MARTA ENCINAS LORENZO</t>
        </is>
      </c>
      <c r="E5" s="6" t="inlineStr">
        <is>
          <t>Primer pago reforma vivienda Avda. Comuneros, 39, 3ºI</t>
        </is>
      </c>
      <c r="F5" s="7" t="n">
        <v>5241</v>
      </c>
      <c r="G5" s="8" t="n">
        <v>0.21</v>
      </c>
      <c r="H5" s="7">
        <f>F5*G5</f>
        <v/>
      </c>
      <c r="I5" s="7" t="n">
        <v>6341.61</v>
      </c>
    </row>
    <row r="6">
      <c r="A6" s="4" t="inlineStr">
        <is>
          <t>08/07/2026</t>
        </is>
      </c>
      <c r="B6" s="5" t="inlineStr">
        <is>
          <t>F0726019</t>
        </is>
      </c>
      <c r="C6" s="5" t="inlineStr">
        <is>
          <t>70769671R</t>
        </is>
      </c>
      <c r="D6" s="6" t="inlineStr">
        <is>
          <t>MARÍA ELISA PÉREZ RAMOS</t>
        </is>
      </c>
      <c r="E6" s="6" t="inlineStr">
        <is>
          <t>Primer pago pintura y varios C/ Álvaro Gil, 27, 1ºM</t>
        </is>
      </c>
      <c r="F6" s="7" t="n">
        <v>745.86</v>
      </c>
      <c r="G6" s="8" t="n">
        <v>0.21</v>
      </c>
      <c r="H6" s="7">
        <f>F6*G6</f>
        <v/>
      </c>
      <c r="I6" s="7" t="n">
        <v>902.49</v>
      </c>
    </row>
    <row r="7">
      <c r="A7" s="4" t="inlineStr">
        <is>
          <t>10/07/2026</t>
        </is>
      </c>
      <c r="B7" s="5" t="inlineStr">
        <is>
          <t>F0726020</t>
        </is>
      </c>
      <c r="C7" s="5" t="inlineStr">
        <is>
          <t>07969159G</t>
        </is>
      </c>
      <c r="D7" s="6" t="inlineStr">
        <is>
          <t>MARÍA VICTORIA GÓMEZ RAMOS</t>
        </is>
      </c>
      <c r="E7" s="6" t="inlineStr">
        <is>
          <t>Primer pago reforma vivienda Avda. Comuneros, 39, 6ºO</t>
        </is>
      </c>
      <c r="F7" s="7" t="n">
        <v>1589.25</v>
      </c>
      <c r="G7" s="8" t="n">
        <v>0.21</v>
      </c>
      <c r="H7" s="7">
        <f>F7*G7</f>
        <v/>
      </c>
      <c r="I7" s="7" t="n">
        <v>1922.99</v>
      </c>
    </row>
    <row r="8">
      <c r="A8" s="4" t="inlineStr">
        <is>
          <t>30/07/2026</t>
        </is>
      </c>
      <c r="B8" s="5" t="inlineStr">
        <is>
          <t>F0726021</t>
        </is>
      </c>
      <c r="C8" s="5" t="inlineStr">
        <is>
          <t>H37204567</t>
        </is>
      </c>
      <c r="D8" s="6" t="inlineStr">
        <is>
          <t>CP CARRETERA DE LEDESMA, 103</t>
        </is>
      </c>
      <c r="E8" s="6" t="inlineStr">
        <is>
          <t>Pago final suministro y rotulación puerta Ctra. Ledesma, 103</t>
        </is>
      </c>
      <c r="F8" s="7" t="n">
        <v>4919.94</v>
      </c>
      <c r="G8" s="8" t="n">
        <v>0.1</v>
      </c>
      <c r="H8" s="7">
        <f>F8*G8</f>
        <v/>
      </c>
      <c r="I8" s="7" t="n">
        <v>5411.93</v>
      </c>
    </row>
    <row r="9">
      <c r="A9" s="4" t="inlineStr">
        <is>
          <t>30/07/2026</t>
        </is>
      </c>
      <c r="B9" s="5" t="inlineStr">
        <is>
          <t>F0726022</t>
        </is>
      </c>
      <c r="C9" s="5" t="inlineStr">
        <is>
          <t>E37065117</t>
        </is>
      </c>
      <c r="D9" s="6" t="inlineStr">
        <is>
          <t>CP PASEO DE CANALEJAS, 67-73</t>
        </is>
      </c>
      <c r="E9" s="6" t="inlineStr">
        <is>
          <t>Segundo pago reparación fachada y balcones P.º Canalejas 67-73</t>
        </is>
      </c>
      <c r="F9" s="7" t="n">
        <v>7000</v>
      </c>
      <c r="G9" s="8" t="n">
        <v>0.1</v>
      </c>
      <c r="H9" s="7">
        <f>F9*G9</f>
        <v/>
      </c>
      <c r="I9" s="7" t="n">
        <v>7700</v>
      </c>
    </row>
    <row r="10">
      <c r="A10" s="4" t="inlineStr">
        <is>
          <t>07/08/2026</t>
        </is>
      </c>
      <c r="B10" s="5" t="inlineStr">
        <is>
          <t>F0826023</t>
        </is>
      </c>
      <c r="C10" s="5" t="inlineStr">
        <is>
          <t>03909382A</t>
        </is>
      </c>
      <c r="D10" s="6" t="inlineStr">
        <is>
          <t>MARTA ENCINAS LORENZO</t>
        </is>
      </c>
      <c r="E10" s="6" t="inlineStr">
        <is>
          <t>Segundo pago reforma vivienda Avda. Comuneros, 39, 3ºI</t>
        </is>
      </c>
      <c r="F10" s="7" t="n">
        <v>3000</v>
      </c>
      <c r="G10" s="8" t="n">
        <v>0.21</v>
      </c>
      <c r="H10" s="7">
        <f>F10*G10</f>
        <v/>
      </c>
      <c r="I10" s="7" t="n">
        <v>3630</v>
      </c>
    </row>
    <row r="11">
      <c r="A11" s="4" t="inlineStr">
        <is>
          <t>11/08/2026</t>
        </is>
      </c>
      <c r="B11" s="5" t="inlineStr">
        <is>
          <t>F0826024</t>
        </is>
      </c>
      <c r="C11" s="5" t="inlineStr">
        <is>
          <t>H37257706</t>
        </is>
      </c>
      <c r="D11" s="6" t="inlineStr">
        <is>
          <t>CP CARRETERA DE LEDESMA, 164-170</t>
        </is>
      </c>
      <c r="E11" s="6" t="inlineStr">
        <is>
          <t>Pago 25% arreglos garaje Ctra. Ledesma, 164-170</t>
        </is>
      </c>
      <c r="F11" s="7" t="n">
        <v>493.56</v>
      </c>
      <c r="G11" s="8" t="n">
        <v>0.1</v>
      </c>
      <c r="H11" s="7">
        <f>F11*G11</f>
        <v/>
      </c>
      <c r="I11" s="7" t="n">
        <v>542.92</v>
      </c>
    </row>
    <row r="12">
      <c r="A12" s="4" t="inlineStr">
        <is>
          <t>11/08/2026</t>
        </is>
      </c>
      <c r="B12" s="5" t="inlineStr">
        <is>
          <t>F0826025</t>
        </is>
      </c>
      <c r="C12" s="5" t="inlineStr">
        <is>
          <t>07422547X</t>
        </is>
      </c>
      <c r="D12" s="6" t="inlineStr">
        <is>
          <t>JUAN JOSÉ MATEOS MORENO</t>
        </is>
      </c>
      <c r="E12" s="6" t="inlineStr">
        <is>
          <t>Segundo pago reforma inmueble Plz. Trujillo, 17, 4ºA</t>
        </is>
      </c>
      <c r="F12" s="7" t="n">
        <v>8349.9</v>
      </c>
      <c r="G12" s="8" t="n">
        <v>0.21</v>
      </c>
      <c r="H12" s="7">
        <f>F12*G12</f>
        <v/>
      </c>
      <c r="I12" s="7" t="n">
        <v>10103.38</v>
      </c>
    </row>
    <row r="13">
      <c r="A13" s="4" t="inlineStr">
        <is>
          <t>14/08/2026</t>
        </is>
      </c>
      <c r="B13" s="5" t="inlineStr">
        <is>
          <t>F0826026</t>
        </is>
      </c>
      <c r="C13" s="5" t="inlineStr">
        <is>
          <t>03909382A</t>
        </is>
      </c>
      <c r="D13" s="6" t="inlineStr">
        <is>
          <t>MARTA ENCINAS LORENZO</t>
        </is>
      </c>
      <c r="E13" s="6" t="inlineStr">
        <is>
          <t>Tercer pago reforma vivienda Avda. Comuneros, 39, 3ºI</t>
        </is>
      </c>
      <c r="F13" s="7" t="n">
        <v>1945.87</v>
      </c>
      <c r="G13" s="8" t="n">
        <v>0.21</v>
      </c>
      <c r="H13" s="7">
        <f>F13*G13</f>
        <v/>
      </c>
      <c r="I13" s="7" t="n">
        <v>2354.5</v>
      </c>
    </row>
    <row r="14">
      <c r="A14" s="4" t="inlineStr">
        <is>
          <t>27/08/2026</t>
        </is>
      </c>
      <c r="B14" s="5" t="inlineStr">
        <is>
          <t>F0826027</t>
        </is>
      </c>
      <c r="C14" s="5" t="inlineStr">
        <is>
          <t>B56323140</t>
        </is>
      </c>
      <c r="D14" s="6" t="inlineStr">
        <is>
          <t>CALAMO CURRENTE, S.L.</t>
        </is>
      </c>
      <c r="E14" s="6" t="inlineStr">
        <is>
          <t>Quinto pago (2 de 2) reforma inmueble Plz. Escritores, 1-3, 1ºD</t>
        </is>
      </c>
      <c r="F14" s="7" t="n">
        <v>655.25</v>
      </c>
      <c r="G14" s="8" t="n">
        <v>0.21</v>
      </c>
      <c r="H14" s="7">
        <f>F14*G14</f>
        <v/>
      </c>
      <c r="I14" s="7" t="n">
        <v>792.85</v>
      </c>
    </row>
    <row r="15">
      <c r="A15" s="4" t="inlineStr">
        <is>
          <t>27/08/2026</t>
        </is>
      </c>
      <c r="B15" s="5" t="inlineStr">
        <is>
          <t>F0826028</t>
        </is>
      </c>
      <c r="C15" s="5" t="inlineStr">
        <is>
          <t>07422547X</t>
        </is>
      </c>
      <c r="D15" s="6" t="inlineStr">
        <is>
          <t>JUAN JOSÉ MATEOS MORENO</t>
        </is>
      </c>
      <c r="E15" s="6" t="inlineStr">
        <is>
          <t>Sustitución lavabo Plz. Trujillo, 17, 4ºA</t>
        </is>
      </c>
      <c r="F15" s="7" t="n">
        <v>717.85</v>
      </c>
      <c r="G15" s="8" t="n">
        <v>0.21</v>
      </c>
      <c r="H15" s="7">
        <f>F15*G15</f>
        <v/>
      </c>
      <c r="I15" s="7" t="n">
        <v>868.6</v>
      </c>
    </row>
    <row r="16">
      <c r="A16" s="4" t="inlineStr">
        <is>
          <t>01/09/2026</t>
        </is>
      </c>
      <c r="B16" s="5" t="inlineStr">
        <is>
          <t>F0926029</t>
        </is>
      </c>
      <c r="C16" s="5" t="inlineStr">
        <is>
          <t>70769671R</t>
        </is>
      </c>
      <c r="D16" s="6" t="inlineStr">
        <is>
          <t>MARÍA ELISA PÉREZ RAMOS</t>
        </is>
      </c>
      <c r="E16" s="6" t="inlineStr">
        <is>
          <t>Segundo pago pintura y varios C/ Álvaro Gil, 27, 1ºM</t>
        </is>
      </c>
      <c r="F16" s="7" t="n">
        <v>908.89</v>
      </c>
      <c r="G16" s="8" t="n">
        <v>0.21</v>
      </c>
      <c r="H16" s="7">
        <f>F16*G16</f>
        <v/>
      </c>
      <c r="I16" s="7" t="n">
        <v>1099.76</v>
      </c>
    </row>
    <row r="17">
      <c r="A17" s="4" t="inlineStr">
        <is>
          <t>01/09/2026</t>
        </is>
      </c>
      <c r="B17" s="5" t="inlineStr">
        <is>
          <t>F0926030</t>
        </is>
      </c>
      <c r="C17" s="5" t="inlineStr">
        <is>
          <t>70872265L</t>
        </is>
      </c>
      <c r="D17" s="6" t="inlineStr">
        <is>
          <t>CONRADO ALBERTO PELEGRÍN HERNANZ</t>
        </is>
      </c>
      <c r="E17" s="6" t="inlineStr">
        <is>
          <t>Primer pago reforma C/ Maestro Soler, 6, 2º3</t>
        </is>
      </c>
      <c r="F17" s="7" t="n">
        <v>880</v>
      </c>
      <c r="G17" s="8" t="n">
        <v>0.21</v>
      </c>
      <c r="H17" s="7">
        <f>F17*G17</f>
        <v/>
      </c>
      <c r="I17" s="7" t="n">
        <v>1064.8</v>
      </c>
    </row>
    <row r="18">
      <c r="A18" s="4" t="inlineStr">
        <is>
          <t>09/09/2026</t>
        </is>
      </c>
      <c r="B18" s="5" t="inlineStr">
        <is>
          <t>F0926031</t>
        </is>
      </c>
      <c r="C18" s="5" t="inlineStr">
        <is>
          <t>70769671R</t>
        </is>
      </c>
      <c r="D18" s="6" t="inlineStr">
        <is>
          <t>MARÍA ELISA PÉREZ RAMOS</t>
        </is>
      </c>
      <c r="E18" s="6" t="inlineStr">
        <is>
          <t>Reparaciones C/ Álvaro Gil, 27, 1ºM</t>
        </is>
      </c>
      <c r="F18" s="7" t="n">
        <v>675</v>
      </c>
      <c r="G18" s="8" t="n">
        <v>0.21</v>
      </c>
      <c r="H18" s="7">
        <f>F18*G18</f>
        <v/>
      </c>
      <c r="I18" s="7" t="n">
        <v>816.75</v>
      </c>
    </row>
    <row r="19">
      <c r="A19" s="9" t="inlineStr">
        <is>
          <t>TOTALES</t>
        </is>
      </c>
      <c r="B19" s="9" t="n"/>
      <c r="C19" s="9" t="n"/>
      <c r="D19" s="9" t="n"/>
      <c r="E19" s="9" t="n"/>
      <c r="F19" s="10">
        <f>SUM(F5:F18)</f>
        <v/>
      </c>
      <c r="G19" s="9" t="n"/>
      <c r="H19" s="10">
        <f>SUM(H5:H18)</f>
        <v/>
      </c>
      <c r="I19" s="10">
        <f>SUM(I5:I18)</f>
        <v/>
      </c>
    </row>
  </sheetData>
  <autoFilter ref="A4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2026-10-15T15:23:54Z</dcterms:created>
  <dcterms:modified xmlns:dcterms="http://purl.org/dc/terms/" xmlns:xsi="http://www.w3.org/2001/XMLSchema-instance" xsi:type="dcterms:W3CDTF">2026-10-15T15:23:54Z</dcterms:modified>
</cp:coreProperties>
</file>