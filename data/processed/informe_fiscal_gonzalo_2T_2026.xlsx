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el contribuyente" sheetId="1" state="visible" r:id="rId1"/>
    <sheet name="Resumen ejecutivo" sheetId="2" state="visible" r:id="rId2"/>
    <sheet name="Facturas emitidas" sheetId="3" state="visible" r:id="rId3"/>
    <sheet name="Facturas recibidas" sheetId="4" state="visible" r:id="rId4"/>
    <sheet name="Libro de ingresos" sheetId="5" state="visible" r:id="rId5"/>
    <sheet name="Libro de gastos" sheetId="6" state="visible" r:id="rId6"/>
    <sheet name="Bienes de inversión" sheetId="7" state="visible" r:id="rId7"/>
    <sheet name="Retenciones" sheetId="8" state="visible" r:id="rId8"/>
    <sheet name="IVA repercutido por tipos" sheetId="9" state="visible" r:id="rId9"/>
    <sheet name="IVA soportado por tipos" sheetId="10" state="visible" r:id="rId10"/>
    <sheet name="Cálculo modelo 303" sheetId="11" state="visible" r:id="rId11"/>
    <sheet name="Cálculo modelo 130" sheetId="12" state="visible" r:id="rId12"/>
    <sheet name="Resumen acumulado anual" sheetId="13" state="visible" r:id="rId13"/>
    <sheet name="Operaciones con terceros" sheetId="14" state="visible" r:id="rId14"/>
    <sheet name="Preparación modelo 347" sheetId="15" state="visible" r:id="rId15"/>
    <sheet name="Preparación resúmenes anuales" sheetId="16" state="visible" r:id="rId16"/>
    <sheet name="Alertas y revisión" sheetId="17" state="visible" r:id="rId17"/>
    <sheet name="Documentos procesados" sheetId="18" state="visible" r:id="rId18"/>
    <sheet name="Doc pendientes o rechazados" sheetId="19" state="visible" r:id="rId19"/>
  </sheets>
  <definedNames>
    <definedName name="_xlnm._FilterDatabase" localSheetId="2" hidden="1">'Facturas emitidas'!$A$1:$P$15</definedName>
    <definedName name="_xlnm._FilterDatabase" localSheetId="3" hidden="1">'Facturas recibidas'!$A$1:$Q$2</definedName>
    <definedName name="_xlnm._FilterDatabase" localSheetId="4" hidden="1">'Libro de ingresos'!$A$1:$L$15</definedName>
    <definedName name="_xlnm._FilterDatabase" localSheetId="5" hidden="1">'Libro de gastos'!$A$1:$O$2</definedName>
    <definedName name="_xlnm._FilterDatabase" localSheetId="6" hidden="1">'Bienes de inversión'!$A$1:$Q$2</definedName>
    <definedName name="_xlnm._FilterDatabase" localSheetId="7" hidden="1">'Retenciones'!$A$1:$J$7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FFF2CC"/>
        <bgColor rgb="00FFF2CC"/>
      </patternFill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2" applyAlignment="1" pivotButton="0" quotePrefix="0" xfId="0">
      <alignment horizontal="left" vertical="center"/>
    </xf>
    <xf numFmtId="0" fontId="0" fillId="0" borderId="2" pivotButton="0" quotePrefix="0" xfId="0"/>
    <xf numFmtId="4" fontId="2" fillId="0" borderId="2" applyAlignment="1" pivotButton="0" quotePrefix="0" xfId="0">
      <alignment horizontal="right" vertical="center"/>
    </xf>
    <xf numFmtId="0" fontId="2" fillId="0" borderId="2" pivotButton="0" quotePrefix="0" xfId="0"/>
    <xf numFmtId="3" fontId="0" fillId="0" borderId="1" applyAlignment="1" pivotButton="0" quotePrefix="0" xfId="0">
      <alignment horizontal="right" vertical="center"/>
    </xf>
    <xf numFmtId="3" fontId="2" fillId="0" borderId="2" applyAlignment="1" pivotButton="0" quotePrefix="0" xfId="0">
      <alignment horizontal="right" vertical="center"/>
    </xf>
    <xf numFmtId="0" fontId="2" fillId="5" borderId="1" pivotButton="0" quotePrefix="0" xfId="0"/>
    <xf numFmtId="0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DATOS IDENTIFICATIVOS DEL CONTRIBUYENTE - EJERCICIO 2026</t>
        </is>
      </c>
    </row>
    <row r="3">
      <c r="A3" s="2" t="inlineStr">
        <is>
          <t>Nombre o razón social</t>
        </is>
      </c>
      <c r="B3" s="3" t="inlineStr">
        <is>
          <t>Gonzalo Palenzuela López</t>
        </is>
      </c>
    </row>
    <row r="4">
      <c r="A4" s="2" t="inlineStr">
        <is>
          <t>NIF o CIF</t>
        </is>
      </c>
      <c r="B4" s="3" t="inlineStr">
        <is>
          <t>09.316.264-E</t>
        </is>
      </c>
    </row>
    <row r="5">
      <c r="A5" s="2" t="inlineStr">
        <is>
          <t>Domicilio fiscal</t>
        </is>
      </c>
      <c r="B5" s="3" t="inlineStr">
        <is>
          <t>C/ Salinas de Villafáfila, nº 1 – 37193 Cabrerizos, Salamanca</t>
        </is>
      </c>
    </row>
    <row r="6">
      <c r="A6" s="2" t="inlineStr">
        <is>
          <t>Actividad económica</t>
        </is>
      </c>
      <c r="B6" s="3" t="inlineStr">
        <is>
          <t>Técnico-Afinador de Pianos</t>
        </is>
      </c>
    </row>
    <row r="7">
      <c r="A7" s="2" t="inlineStr">
        <is>
          <t>Epígrafe del IAE</t>
        </is>
      </c>
      <c r="B7" s="3" t="inlineStr">
        <is>
          <t>722 - Gestores, técnicos y especialistas en instrumentos musicales (Profesionales)</t>
        </is>
      </c>
    </row>
    <row r="8">
      <c r="A8" s="2" t="inlineStr">
        <is>
          <t>Régimen de tributación en IRPF</t>
        </is>
      </c>
      <c r="B8" s="3" t="inlineStr">
        <is>
          <t>Estimación Directa Simplificada (Modelo 130)</t>
        </is>
      </c>
    </row>
    <row r="9">
      <c r="A9" s="2" t="inlineStr">
        <is>
          <t>Régimen de IVA</t>
        </is>
      </c>
      <c r="B9" s="3" t="inlineStr">
        <is>
          <t>Régimen General (Modelo 303)</t>
        </is>
      </c>
    </row>
    <row r="10">
      <c r="A10" s="2" t="inlineStr">
        <is>
          <t>Periodo y ejercicio analizado</t>
        </is>
      </c>
      <c r="B10" s="3" t="inlineStr">
        <is>
          <t>Segundo Trimestre (2T) - Ejercicio 2026</t>
        </is>
      </c>
    </row>
    <row r="11">
      <c r="A11" s="2" t="inlineStr">
        <is>
          <t>Modelos fiscales aplicables</t>
        </is>
      </c>
      <c r="B11" s="3" t="inlineStr">
        <is>
          <t>Modelo 303 (IVA), Modelo 130 (IRPF Fraccionado), Modelo 349 (Intracomunitario)</t>
        </is>
      </c>
    </row>
    <row r="12">
      <c r="A12" s="2" t="inlineStr">
        <is>
          <t>Trabajadores contratados</t>
        </is>
      </c>
      <c r="B12" s="4" t="inlineStr">
        <is>
          <t>No (Pendiente de confirmar)</t>
        </is>
      </c>
    </row>
    <row r="13">
      <c r="A13" s="2" t="inlineStr">
        <is>
          <t>Profesionales con retención</t>
        </is>
      </c>
      <c r="B13" s="4" t="inlineStr">
        <is>
          <t>No (Pendiente de confirmar)</t>
        </is>
      </c>
    </row>
    <row r="14">
      <c r="A14" s="2" t="inlineStr">
        <is>
          <t>Alquileres sujetos a retención</t>
        </is>
      </c>
      <c r="B14" s="4" t="inlineStr">
        <is>
          <t>No (Pendiente de confirmar)</t>
        </is>
      </c>
    </row>
    <row r="15">
      <c r="A15" s="2" t="inlineStr">
        <is>
          <t>Operaciones intracomunitarias</t>
        </is>
      </c>
      <c r="B15" s="3" t="inlineStr">
        <is>
          <t>Sí (Ventas / prestaciones de servicios en Bélgica: Pianos Maene y Queen's Piano)</t>
        </is>
      </c>
    </row>
    <row r="16">
      <c r="A16" s="2" t="inlineStr">
        <is>
          <t>Exportaciones / Importaciones</t>
        </is>
      </c>
      <c r="B16" s="4" t="inlineStr">
        <is>
          <t>No (Pendiente de confirmar)</t>
        </is>
      </c>
    </row>
    <row r="17">
      <c r="A17" s="2" t="inlineStr">
        <is>
          <t>Inversión del sujeto pasivo</t>
        </is>
      </c>
      <c r="B17" s="4" t="inlineStr">
        <is>
          <t>No (Pendiente de confirmar)</t>
        </is>
      </c>
    </row>
    <row r="18">
      <c r="A18" s="2" t="inlineStr">
        <is>
          <t>Operaciones exentas</t>
        </is>
      </c>
      <c r="B18" s="4" t="inlineStr">
        <is>
          <t>No (Pendiente de confirmar)</t>
        </is>
      </c>
    </row>
    <row r="19">
      <c r="A19" s="2" t="inlineStr">
        <is>
          <t>Ventas por plataformas digitales</t>
        </is>
      </c>
      <c r="B19" s="4" t="inlineStr">
        <is>
          <t>No (Pendiente de confirmar)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1" t="inlineStr">
        <is>
          <t>RESUMEN EJECUTIVO - 2T 2026</t>
        </is>
      </c>
    </row>
    <row r="3">
      <c r="A3" s="5" t="inlineStr">
        <is>
          <t>Concepto</t>
        </is>
      </c>
      <c r="B3" s="6" t="inlineStr">
        <is>
          <t>Valor</t>
        </is>
      </c>
    </row>
    <row r="4">
      <c r="A4" s="7" t="inlineStr">
        <is>
          <t>Total de ingresos del trimestre</t>
        </is>
      </c>
      <c r="B4" s="8">
        <f>'Libro de ingresos'!G16</f>
        <v/>
      </c>
    </row>
    <row r="5">
      <c r="A5" s="7" t="inlineStr">
        <is>
          <t>Total de gastos del trimestre</t>
        </is>
      </c>
      <c r="B5" s="8">
        <f>'Libro de gastos'!H5</f>
        <v/>
      </c>
    </row>
    <row r="6">
      <c r="A6" s="7" t="inlineStr">
        <is>
          <t>Resultado o rendimiento neto</t>
        </is>
      </c>
      <c r="B6" s="8">
        <f>B4-B5</f>
        <v/>
      </c>
    </row>
    <row r="7">
      <c r="A7" s="3" t="inlineStr">
        <is>
          <t>IVA repercutido total</t>
        </is>
      </c>
      <c r="B7" s="9">
        <f>'IVA repercutido por tipos'!C9</f>
        <v/>
      </c>
    </row>
    <row r="8">
      <c r="A8" s="3" t="inlineStr">
        <is>
          <t>IVA soportado total</t>
        </is>
      </c>
      <c r="B8" s="9">
        <f>'IVA soportado por tipos'!C5</f>
        <v/>
      </c>
    </row>
    <row r="9">
      <c r="A9" s="3" t="inlineStr">
        <is>
          <t>IVA deducible total</t>
        </is>
      </c>
      <c r="B9" s="9">
        <f>'IVA soportado por tipos'!C5</f>
        <v/>
      </c>
    </row>
    <row r="10">
      <c r="A10" s="7" t="inlineStr">
        <is>
          <t>Resultado del modelo 303</t>
        </is>
      </c>
      <c r="B10" s="10">
        <f>'Cálculo modelo 303'!B17</f>
        <v/>
      </c>
    </row>
    <row r="11">
      <c r="A11" s="7" t="inlineStr">
        <is>
          <t>Resultado del modelo 130</t>
        </is>
      </c>
      <c r="B11" s="10">
        <f>'Cálculo modelo 130'!B11</f>
        <v/>
      </c>
    </row>
    <row r="12">
      <c r="A12" s="3" t="inlineStr">
        <is>
          <t>Retenciones soportadas (retenciones sufridas)</t>
        </is>
      </c>
      <c r="B12" s="9">
        <f>'Retenciones'!I8</f>
        <v/>
      </c>
    </row>
    <row r="13">
      <c r="A13" s="3" t="inlineStr">
        <is>
          <t>Retenciones practicadas (retenidas a otros)</t>
        </is>
      </c>
      <c r="B13" s="9" t="n">
        <v>0</v>
      </c>
    </row>
    <row r="14">
      <c r="A14" s="7" t="inlineStr">
        <is>
          <t>Total de facturas emitidas</t>
        </is>
      </c>
      <c r="B14" s="11" t="n">
        <v>14</v>
      </c>
    </row>
    <row r="15">
      <c r="A15" s="7" t="inlineStr">
        <is>
          <t>Total de facturas recibidas</t>
        </is>
      </c>
      <c r="B15" s="11" t="n">
        <v>0</v>
      </c>
    </row>
    <row r="16">
      <c r="A16" s="3" t="inlineStr">
        <is>
          <t>Número de documentos pendientes</t>
        </is>
      </c>
      <c r="B16" s="12" t="n">
        <v>0</v>
      </c>
    </row>
    <row r="17">
      <c r="A17" s="3" t="inlineStr">
        <is>
          <t>Fecha límite de presentación</t>
        </is>
      </c>
      <c r="B17" s="13" t="inlineStr">
        <is>
          <t>20/07/2026</t>
        </is>
      </c>
    </row>
    <row r="20">
      <c r="A20" s="14" t="inlineStr">
        <is>
          <t>NOTAS ACLARATORIAS IMPORTANTES:</t>
        </is>
      </c>
    </row>
    <row r="21">
      <c r="A21" s="15" t="inlineStr">
        <is>
          <t>1. Retenciones Profesionales: Se ha retenido un 7% de retención profesional del IRPF en facturas a personas jurídicas en España (Hinves Pianos, Sirinx, Universidad Pontificia, Palacio de Congresos Adaja).</t>
        </is>
      </c>
    </row>
    <row r="22">
      <c r="A22" s="15" t="inlineStr">
        <is>
          <t>2. Fundación Salamanca: No se aplica retención profesional porque la Fundación ha declarado explícitamente estar exenta de retener en sus facturas bajo actividad empresarial no sujeta.</t>
        </is>
      </c>
    </row>
    <row r="23">
      <c r="A23" s="15" t="inlineStr">
        <is>
          <t>3. Operaciones Intracomunitarias: Pianos Maene N.V. y Queen's Piano SPRL son clientes de la UE con NIF-IVA de Bélgica. Las facturas se emiten sin IVA español (Inversión del sujeto pasivo / prestación de servicios exenta). Deben declararse en el Modelo 349.</t>
        </is>
      </c>
    </row>
    <row r="24">
      <c r="A24" s="15" t="inlineStr">
        <is>
          <t>4. Error de Factura de Raúl Adsilent: El archivo indica la factura nº 1277/26 pero el nombre del archivo contiene 1278-26. Se clasifica como factura nº 1277/26 y genera un salto en la serie (Faltan facturas 1278 y 1279).</t>
        </is>
      </c>
    </row>
    <row r="25">
      <c r="A25" s="15" t="inlineStr">
        <is>
          <t>5. Error en factura de Palacio de Congresos de Ávila (1285): El IVA del 21% de 400.00€ se describe como '84.000 €'. Sin embargo, el total es de 484.00€, por lo que es un mero error de imprenta (tres ceros de más).</t>
        </is>
      </c>
    </row>
    <row r="26">
      <c r="A26" s="15" t="inlineStr">
        <is>
          <t>6. Error en factura de Pianos Maene (1280): La línea de detalle indica '15 days x 295 € ....... 3.540.00 €' (lo cual es incorrecto, ya que 15 * 295 = 4425), pero la suma total del documento es correcta: 'TOTAL ....... 4.425,00 €'. Se contabiliza por su total correcto.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4" customWidth="1" min="4" max="4"/>
    <col width="51" customWidth="1" min="5" max="5"/>
    <col width="18" customWidth="1" min="6" max="6"/>
    <col width="109" customWidth="1" min="7" max="7"/>
    <col width="16" customWidth="1" min="8" max="8"/>
    <col width="12" customWidth="1" min="9" max="9"/>
    <col width="16" customWidth="1" min="10" max="10"/>
    <col width="16" customWidth="1" min="11" max="11"/>
    <col width="12" customWidth="1" min="12" max="12"/>
    <col width="16" customWidth="1" min="13" max="13"/>
    <col width="16" customWidth="1" min="14" max="14"/>
    <col width="12" customWidth="1" min="15" max="15"/>
    <col width="145" customWidth="1" min="16" max="16"/>
  </cols>
  <sheetData>
    <row r="1">
      <c r="A1" s="16" t="inlineStr">
        <is>
          <t>Nº Registro</t>
        </is>
      </c>
      <c r="B1" s="16" t="inlineStr">
        <is>
          <t>Nº Factura</t>
        </is>
      </c>
      <c r="C1" s="16" t="inlineStr">
        <is>
          <t>Fecha de Expedición</t>
        </is>
      </c>
      <c r="D1" s="16" t="inlineStr">
        <is>
          <t>Fecha de Operación</t>
        </is>
      </c>
      <c r="E1" s="16" t="inlineStr">
        <is>
          <t>Cliente</t>
        </is>
      </c>
      <c r="F1" s="16" t="inlineStr">
        <is>
          <t>NIF</t>
        </is>
      </c>
      <c r="G1" s="16" t="inlineStr">
        <is>
          <t>Concepto</t>
        </is>
      </c>
      <c r="H1" s="16" t="inlineStr">
        <is>
          <t>Base Imponible</t>
        </is>
      </c>
      <c r="I1" s="16" t="inlineStr">
        <is>
          <t>Tipo de IVA</t>
        </is>
      </c>
      <c r="J1" s="16" t="inlineStr">
        <is>
          <t>Cuota de IVA</t>
        </is>
      </c>
      <c r="K1" s="16" t="inlineStr">
        <is>
          <t>Recargo de Equivalencia</t>
        </is>
      </c>
      <c r="L1" s="16" t="inlineStr">
        <is>
          <t>Retención (%)</t>
        </is>
      </c>
      <c r="M1" s="16" t="inlineStr">
        <is>
          <t>Importe Retención</t>
        </is>
      </c>
      <c r="N1" s="16" t="inlineStr">
        <is>
          <t>Total Factura</t>
        </is>
      </c>
      <c r="O1" s="16" t="inlineStr">
        <is>
          <t>Estado de Cobro</t>
        </is>
      </c>
      <c r="P1" s="16" t="inlineStr">
        <is>
          <t>Observaciones</t>
        </is>
      </c>
    </row>
    <row r="2">
      <c r="A2" s="17" t="n">
        <v>1</v>
      </c>
      <c r="B2" s="18" t="inlineStr">
        <is>
          <t>1277/26</t>
        </is>
      </c>
      <c r="C2" s="17" t="inlineStr">
        <is>
          <t>08/04/2026</t>
        </is>
      </c>
      <c r="D2" s="17" t="inlineStr">
        <is>
          <t>08/04/2026</t>
        </is>
      </c>
      <c r="E2" s="19" t="inlineStr">
        <is>
          <t>Jesús Raúl Sanchez-Carvallo Martín</t>
        </is>
      </c>
      <c r="F2" s="18" t="inlineStr">
        <is>
          <t>07847971A</t>
        </is>
      </c>
      <c r="G2" s="19" t="inlineStr">
        <is>
          <t>Adsilent 2 Silent System para piano de cola, y su instalación</t>
        </is>
      </c>
      <c r="H2" s="20" t="n">
        <v>3000</v>
      </c>
      <c r="I2" s="21" t="n">
        <v>0.21</v>
      </c>
      <c r="J2" s="20" t="n">
        <v>630</v>
      </c>
      <c r="K2" s="21" t="n">
        <v>0</v>
      </c>
      <c r="L2" s="21" t="n">
        <v>0</v>
      </c>
      <c r="M2" s="20" t="n">
        <v>0</v>
      </c>
      <c r="N2" s="20" t="n">
        <v>3630</v>
      </c>
      <c r="O2" s="17" t="inlineStr">
        <is>
          <t>Cobrado</t>
        </is>
      </c>
      <c r="P2" s="22" t="inlineStr">
        <is>
          <t>Archivo denominado 1278-26, número de factura interior es 1277/26. Posible error de numeración.</t>
        </is>
      </c>
    </row>
    <row r="3">
      <c r="A3" s="17" t="n">
        <v>2</v>
      </c>
      <c r="B3" s="18" t="inlineStr">
        <is>
          <t>1280/26</t>
        </is>
      </c>
      <c r="C3" s="17" t="inlineStr">
        <is>
          <t>04/05/2026</t>
        </is>
      </c>
      <c r="D3" s="17" t="inlineStr">
        <is>
          <t>30/04/2026</t>
        </is>
      </c>
      <c r="E3" s="19" t="inlineStr">
        <is>
          <t>PIANOS MAENE N.V.</t>
        </is>
      </c>
      <c r="F3" s="18" t="inlineStr">
        <is>
          <t>BE0440.262.115</t>
        </is>
      </c>
      <c r="G3" s="19" t="inlineStr">
        <is>
          <t>Work done during Abril 2026 (15 days x 295 €)</t>
        </is>
      </c>
      <c r="H3" s="20" t="n">
        <v>4425</v>
      </c>
      <c r="I3" s="21" t="n">
        <v>0</v>
      </c>
      <c r="J3" s="20" t="n">
        <v>0</v>
      </c>
      <c r="K3" s="21" t="n">
        <v>0</v>
      </c>
      <c r="L3" s="21" t="n">
        <v>0</v>
      </c>
      <c r="M3" s="20" t="n">
        <v>0</v>
      </c>
      <c r="N3" s="20" t="n">
        <v>4425</v>
      </c>
      <c r="O3" s="17" t="inlineStr">
        <is>
          <t>Cobrado</t>
        </is>
      </c>
      <c r="P3" s="22" t="inlineStr">
        <is>
          <t>Operación intracomunitaria. Error tipográfico en línea de detalle (indica 3.540,00 € pero total 4.425,00 €). El total de la suma es correcto.</t>
        </is>
      </c>
    </row>
    <row r="4">
      <c r="A4" s="17" t="n">
        <v>3</v>
      </c>
      <c r="B4" s="18" t="inlineStr">
        <is>
          <t>1281/26</t>
        </is>
      </c>
      <c r="C4" s="17" t="inlineStr">
        <is>
          <t>04/05/2026</t>
        </is>
      </c>
      <c r="D4" s="17" t="inlineStr">
        <is>
          <t>04/05/2026</t>
        </is>
      </c>
      <c r="E4" s="19" t="inlineStr">
        <is>
          <t>Hinves Pianos S.L.</t>
        </is>
      </c>
      <c r="F4" s="18" t="inlineStr">
        <is>
          <t>B18651901</t>
        </is>
      </c>
      <c r="G4" s="19" t="inlineStr">
        <is>
          <t>Instalación de electrónica de Adsilent en Modelo K, ajuste y mejoras Yamaha C3</t>
        </is>
      </c>
      <c r="H4" s="20" t="n">
        <v>250</v>
      </c>
      <c r="I4" s="21" t="n">
        <v>0.21</v>
      </c>
      <c r="J4" s="20" t="n">
        <v>52.5</v>
      </c>
      <c r="K4" s="21" t="n">
        <v>0</v>
      </c>
      <c r="L4" s="21" t="n">
        <v>0.07000000000000001</v>
      </c>
      <c r="M4" s="20" t="n">
        <v>17.5</v>
      </c>
      <c r="N4" s="20" t="n">
        <v>302.5</v>
      </c>
      <c r="O4" s="17" t="inlineStr">
        <is>
          <t>Cobrado</t>
        </is>
      </c>
      <c r="P4" s="22" t="inlineStr">
        <is>
          <t>Sujeto a retención profesional de IRPF (7%).</t>
        </is>
      </c>
    </row>
    <row r="5">
      <c r="A5" s="17" t="n">
        <v>4</v>
      </c>
      <c r="B5" s="18" t="inlineStr">
        <is>
          <t>1282.26</t>
        </is>
      </c>
      <c r="C5" s="17" t="inlineStr">
        <is>
          <t>04/05/2026</t>
        </is>
      </c>
      <c r="D5" s="17" t="inlineStr">
        <is>
          <t>11/04/2026</t>
        </is>
      </c>
      <c r="E5" s="19" t="inlineStr">
        <is>
          <t>FUNDACIÓN SALAMANCA CIUDAD DE CULTURA Y SABERES</t>
        </is>
      </c>
      <c r="F5" s="18" t="inlineStr">
        <is>
          <t>G-37404571</t>
        </is>
      </c>
      <c r="G5" s="19" t="inlineStr">
        <is>
          <t>Afinación de un piano Yamaha CF en el CAEM</t>
        </is>
      </c>
      <c r="H5" s="20" t="n">
        <v>200</v>
      </c>
      <c r="I5" s="21" t="n">
        <v>0.1</v>
      </c>
      <c r="J5" s="20" t="n">
        <v>20</v>
      </c>
      <c r="K5" s="21" t="n">
        <v>0</v>
      </c>
      <c r="L5" s="21" t="n">
        <v>0</v>
      </c>
      <c r="M5" s="20" t="n">
        <v>0</v>
      </c>
      <c r="N5" s="20" t="n">
        <v>220</v>
      </c>
      <c r="O5" s="17" t="inlineStr">
        <is>
          <t>Cobrado</t>
        </is>
      </c>
      <c r="P5" s="22" t="inlineStr">
        <is>
          <t>IVA reducido al 10% (servicios culturales). No sujeto a retención.</t>
        </is>
      </c>
    </row>
    <row r="6">
      <c r="A6" s="17" t="n">
        <v>5</v>
      </c>
      <c r="B6" s="18" t="inlineStr">
        <is>
          <t>1283.26</t>
        </is>
      </c>
      <c r="C6" s="17" t="inlineStr">
        <is>
          <t>11/05/2026</t>
        </is>
      </c>
      <c r="D6" s="17" t="inlineStr">
        <is>
          <t>13/05/2026</t>
        </is>
      </c>
      <c r="E6" s="19" t="inlineStr">
        <is>
          <t>Universidad Pontificia de Salamanca</t>
        </is>
      </c>
      <c r="F6" s="18" t="inlineStr">
        <is>
          <t>R3700047H</t>
        </is>
      </c>
      <c r="G6" s="19" t="inlineStr">
        <is>
          <t>Afinación La 442Hz, lubricación de elementos y ajustes básicos en piano Yamaha C-3</t>
        </is>
      </c>
      <c r="H6" s="20" t="n">
        <v>200</v>
      </c>
      <c r="I6" s="21" t="n">
        <v>0.21</v>
      </c>
      <c r="J6" s="20" t="n">
        <v>42</v>
      </c>
      <c r="K6" s="21" t="n">
        <v>0</v>
      </c>
      <c r="L6" s="21" t="n">
        <v>0.07000000000000001</v>
      </c>
      <c r="M6" s="20" t="n">
        <v>14</v>
      </c>
      <c r="N6" s="20" t="n">
        <v>242</v>
      </c>
      <c r="O6" s="17" t="inlineStr">
        <is>
          <t>Cobrado</t>
        </is>
      </c>
      <c r="P6" s="22" t="inlineStr">
        <is>
          <t>Sujeto a retención profesional de IRPF (7%).</t>
        </is>
      </c>
    </row>
    <row r="7">
      <c r="A7" s="17" t="n">
        <v>6</v>
      </c>
      <c r="B7" s="18" t="inlineStr">
        <is>
          <t>1284/26</t>
        </is>
      </c>
      <c r="C7" s="17" t="inlineStr">
        <is>
          <t>11/05/2026</t>
        </is>
      </c>
      <c r="D7" s="17" t="inlineStr">
        <is>
          <t>11/05/2026</t>
        </is>
      </c>
      <c r="E7" s="19" t="inlineStr">
        <is>
          <t>Hinves Pianos S.L.</t>
        </is>
      </c>
      <c r="F7" s="18" t="inlineStr">
        <is>
          <t>B18651901</t>
        </is>
      </c>
      <c r="G7" s="19" t="inlineStr">
        <is>
          <t>Instalación de Adsilent en dos modelos K, y en un Yamaha C5 (4 days)</t>
        </is>
      </c>
      <c r="H7" s="20" t="n">
        <v>1400</v>
      </c>
      <c r="I7" s="21" t="n">
        <v>0.21</v>
      </c>
      <c r="J7" s="20" t="n">
        <v>294</v>
      </c>
      <c r="K7" s="21" t="n">
        <v>0</v>
      </c>
      <c r="L7" s="21" t="n">
        <v>0.07000000000000001</v>
      </c>
      <c r="M7" s="20" t="n">
        <v>98</v>
      </c>
      <c r="N7" s="20" t="n">
        <v>1694</v>
      </c>
      <c r="O7" s="17" t="inlineStr">
        <is>
          <t>Cobrado</t>
        </is>
      </c>
      <c r="P7" s="22" t="inlineStr">
        <is>
          <t>Sujeto a retención profesional de IRPF (7%).</t>
        </is>
      </c>
    </row>
    <row r="8">
      <c r="A8" s="17" t="n">
        <v>7</v>
      </c>
      <c r="B8" s="18" t="inlineStr">
        <is>
          <t>1285/26</t>
        </is>
      </c>
      <c r="C8" s="17" t="inlineStr">
        <is>
          <t>11/05/2026</t>
        </is>
      </c>
      <c r="D8" s="17" t="inlineStr">
        <is>
          <t>11/05/2026</t>
        </is>
      </c>
      <c r="E8" s="19" t="inlineStr">
        <is>
          <t>EXPOSICIONES Y CONGRESOS ADAJA S.A.U.</t>
        </is>
      </c>
      <c r="F8" s="18" t="inlineStr">
        <is>
          <t>A-05204458</t>
        </is>
      </c>
      <c r="G8" s="19" t="inlineStr">
        <is>
          <t>Afinación y atención técnica para concierto en dos pianos de cola Steinway &amp; Sons y Yamaha</t>
        </is>
      </c>
      <c r="H8" s="20" t="n">
        <v>400</v>
      </c>
      <c r="I8" s="21" t="n">
        <v>0.21</v>
      </c>
      <c r="J8" s="20" t="n">
        <v>84</v>
      </c>
      <c r="K8" s="21" t="n">
        <v>0</v>
      </c>
      <c r="L8" s="21" t="n">
        <v>0.07000000000000001</v>
      </c>
      <c r="M8" s="20" t="n">
        <v>28</v>
      </c>
      <c r="N8" s="20" t="n">
        <v>484</v>
      </c>
      <c r="O8" s="17" t="inlineStr">
        <is>
          <t>Cobrado</t>
        </is>
      </c>
      <c r="P8" s="22" t="inlineStr">
        <is>
          <t>Sujeto a retención profesional de IRPF (7%). Error tipográfico en IVA ('84.000 €'). Suma de total es correcta.</t>
        </is>
      </c>
    </row>
    <row r="9">
      <c r="A9" s="17" t="n">
        <v>8</v>
      </c>
      <c r="B9" s="18" t="inlineStr">
        <is>
          <t>1286.26</t>
        </is>
      </c>
      <c r="C9" s="17" t="inlineStr">
        <is>
          <t>12/05/2026</t>
        </is>
      </c>
      <c r="D9" s="17" t="inlineStr">
        <is>
          <t>11/05/2026</t>
        </is>
      </c>
      <c r="E9" s="19" t="inlineStr">
        <is>
          <t>FUNDACIÓN SALAMANCA CIUDAD DE CULTURA Y SABERES</t>
        </is>
      </c>
      <c r="F9" s="18" t="inlineStr">
        <is>
          <t>G-37404571</t>
        </is>
      </c>
      <c r="G9" s="19" t="inlineStr">
        <is>
          <t>Afinación del piano del Teatro Liceo</t>
        </is>
      </c>
      <c r="H9" s="20" t="n">
        <v>200</v>
      </c>
      <c r="I9" s="21" t="n">
        <v>0.1</v>
      </c>
      <c r="J9" s="20" t="n">
        <v>20</v>
      </c>
      <c r="K9" s="21" t="n">
        <v>0</v>
      </c>
      <c r="L9" s="21" t="n">
        <v>0</v>
      </c>
      <c r="M9" s="20" t="n">
        <v>0</v>
      </c>
      <c r="N9" s="20" t="n">
        <v>220</v>
      </c>
      <c r="O9" s="17" t="inlineStr">
        <is>
          <t>Cobrado</t>
        </is>
      </c>
      <c r="P9" s="22" t="inlineStr">
        <is>
          <t>IVA reducido al 10% (servicios culturales). No sujeto a retención.</t>
        </is>
      </c>
    </row>
    <row r="10">
      <c r="A10" s="17" t="n">
        <v>9</v>
      </c>
      <c r="B10" s="18" t="inlineStr">
        <is>
          <t>1287/26</t>
        </is>
      </c>
      <c r="C10" s="17" t="inlineStr">
        <is>
          <t>17/05/2026</t>
        </is>
      </c>
      <c r="D10" s="17" t="inlineStr">
        <is>
          <t>17/05/2026</t>
        </is>
      </c>
      <c r="E10" s="19" t="inlineStr">
        <is>
          <t>Hinves Pianos S.L.</t>
        </is>
      </c>
      <c r="F10" s="18" t="inlineStr">
        <is>
          <t>B18651901</t>
        </is>
      </c>
      <c r="G10" s="19" t="inlineStr">
        <is>
          <t>Proceso de entonación y ajuste en un piano de cola Schimmel</t>
        </is>
      </c>
      <c r="H10" s="20" t="n">
        <v>700</v>
      </c>
      <c r="I10" s="21" t="n">
        <v>0.21</v>
      </c>
      <c r="J10" s="20" t="n">
        <v>147</v>
      </c>
      <c r="K10" s="21" t="n">
        <v>0</v>
      </c>
      <c r="L10" s="21" t="n">
        <v>0.07000000000000001</v>
      </c>
      <c r="M10" s="20" t="n">
        <v>49</v>
      </c>
      <c r="N10" s="20" t="n">
        <v>847</v>
      </c>
      <c r="O10" s="17" t="inlineStr">
        <is>
          <t>Cobrado</t>
        </is>
      </c>
      <c r="P10" s="22" t="inlineStr">
        <is>
          <t>Sujeto a retención profesional de IRPF (7%).</t>
        </is>
      </c>
    </row>
    <row r="11">
      <c r="A11" s="17" t="n">
        <v>10</v>
      </c>
      <c r="B11" s="18" t="inlineStr">
        <is>
          <t>1288.26</t>
        </is>
      </c>
      <c r="C11" s="17" t="inlineStr">
        <is>
          <t>18/06/2026</t>
        </is>
      </c>
      <c r="D11" s="17" t="inlineStr">
        <is>
          <t>31/05/2026</t>
        </is>
      </c>
      <c r="E11" s="19" t="inlineStr">
        <is>
          <t>QUEEN’S PIANO SPRL</t>
        </is>
      </c>
      <c r="F11" s="18" t="inlineStr">
        <is>
          <t>BE1008.794.060</t>
        </is>
      </c>
      <c r="G11" s="19" t="inlineStr">
        <is>
          <t>Work done during May 2026 (11 days x 300 €) + Collaboration on accommodation/transfer (500 €)</t>
        </is>
      </c>
      <c r="H11" s="20" t="n">
        <v>3800</v>
      </c>
      <c r="I11" s="21" t="n">
        <v>0</v>
      </c>
      <c r="J11" s="20" t="n">
        <v>0</v>
      </c>
      <c r="K11" s="21" t="n">
        <v>0</v>
      </c>
      <c r="L11" s="21" t="n">
        <v>0</v>
      </c>
      <c r="M11" s="20" t="n">
        <v>0</v>
      </c>
      <c r="N11" s="20" t="n">
        <v>3800</v>
      </c>
      <c r="O11" s="17" t="inlineStr">
        <is>
          <t>Cobrado</t>
        </is>
      </c>
      <c r="P11" s="22" t="inlineStr">
        <is>
          <t>Operación intracomunitaria. Libre de IVA por inversión de sujeto pasivo.</t>
        </is>
      </c>
    </row>
    <row r="12">
      <c r="A12" s="17" t="n">
        <v>11</v>
      </c>
      <c r="B12" s="18" t="inlineStr">
        <is>
          <t>1289.26</t>
        </is>
      </c>
      <c r="C12" s="17" t="inlineStr">
        <is>
          <t>18/06/2026</t>
        </is>
      </c>
      <c r="D12" s="17" t="inlineStr">
        <is>
          <t>01/06/2026</t>
        </is>
      </c>
      <c r="E12" s="19" t="inlineStr">
        <is>
          <t>FUNDACIÓN SALAMANCA CIUDAD DE CULTURA Y SABERES</t>
        </is>
      </c>
      <c r="F12" s="18" t="inlineStr">
        <is>
          <t>G-37404571</t>
        </is>
      </c>
      <c r="G12" s="19" t="inlineStr">
        <is>
          <t>Afinación del piano del CAEM</t>
        </is>
      </c>
      <c r="H12" s="20" t="n">
        <v>200</v>
      </c>
      <c r="I12" s="21" t="n">
        <v>0.1</v>
      </c>
      <c r="J12" s="20" t="n">
        <v>20</v>
      </c>
      <c r="K12" s="21" t="n">
        <v>0</v>
      </c>
      <c r="L12" s="21" t="n">
        <v>0</v>
      </c>
      <c r="M12" s="20" t="n">
        <v>0</v>
      </c>
      <c r="N12" s="20" t="n">
        <v>220</v>
      </c>
      <c r="O12" s="17" t="inlineStr">
        <is>
          <t>Cobrado</t>
        </is>
      </c>
      <c r="P12" s="22" t="inlineStr">
        <is>
          <t>IVA reducido al 10% (servicios culturales). No sujeto a retención.</t>
        </is>
      </c>
    </row>
    <row r="13">
      <c r="A13" s="17" t="n">
        <v>12</v>
      </c>
      <c r="B13" s="18" t="inlineStr">
        <is>
          <t>1290/26</t>
        </is>
      </c>
      <c r="C13" s="17" t="inlineStr">
        <is>
          <t>18/06/2026</t>
        </is>
      </c>
      <c r="D13" s="17" t="inlineStr">
        <is>
          <t>18/06/2026</t>
        </is>
      </c>
      <c r="E13" s="19" t="inlineStr">
        <is>
          <t>Monica Logani</t>
        </is>
      </c>
      <c r="F13" s="18" t="inlineStr">
        <is>
          <t>Y4848667M</t>
        </is>
      </c>
      <c r="G13" s="19" t="inlineStr">
        <is>
          <t>Preparación completa de un piano Yamaha C3 (entonación, ajuste, limpieza, desplazamiento Madrid-Valencia)</t>
        </is>
      </c>
      <c r="H13" s="20" t="n">
        <v>2686</v>
      </c>
      <c r="I13" s="21" t="n">
        <v>0.21</v>
      </c>
      <c r="J13" s="20" t="n">
        <v>564</v>
      </c>
      <c r="K13" s="21" t="n">
        <v>0</v>
      </c>
      <c r="L13" s="21" t="n">
        <v>0</v>
      </c>
      <c r="M13" s="20" t="n">
        <v>0</v>
      </c>
      <c r="N13" s="20" t="n">
        <v>3250</v>
      </c>
      <c r="O13" s="17" t="inlineStr">
        <is>
          <t>Cobrado</t>
        </is>
      </c>
      <c r="P13" s="22" t="inlineStr">
        <is>
          <t>Cliente persona física en España (no sujeto a retención profesional).</t>
        </is>
      </c>
    </row>
    <row r="14">
      <c r="A14" s="17" t="n">
        <v>13</v>
      </c>
      <c r="B14" s="18" t="inlineStr">
        <is>
          <t>1291/26</t>
        </is>
      </c>
      <c r="C14" s="17" t="inlineStr">
        <is>
          <t>18/06/2026</t>
        </is>
      </c>
      <c r="D14" s="17" t="inlineStr">
        <is>
          <t>18/06/2026</t>
        </is>
      </c>
      <c r="E14" s="19" t="inlineStr">
        <is>
          <t>Marina Elias Malarka</t>
        </is>
      </c>
      <c r="F14" s="18" t="inlineStr">
        <is>
          <t>70965658D</t>
        </is>
      </c>
      <c r="G14" s="19" t="inlineStr">
        <is>
          <t>Afinación y corrección de detalles mecánicos en dos pianos verticales (Kawai y Yamaha)</t>
        </is>
      </c>
      <c r="H14" s="20" t="n">
        <v>300</v>
      </c>
      <c r="I14" s="21" t="n">
        <v>0.21</v>
      </c>
      <c r="J14" s="20" t="n">
        <v>63</v>
      </c>
      <c r="K14" s="21" t="n">
        <v>0</v>
      </c>
      <c r="L14" s="21" t="n">
        <v>0</v>
      </c>
      <c r="M14" s="20" t="n">
        <v>0</v>
      </c>
      <c r="N14" s="20" t="n">
        <v>363</v>
      </c>
      <c r="O14" s="17" t="inlineStr">
        <is>
          <t>Cobrado</t>
        </is>
      </c>
      <c r="P14" s="22" t="inlineStr">
        <is>
          <t>Cliente persona física en España (no sujeto a retención profesional).</t>
        </is>
      </c>
    </row>
    <row r="15">
      <c r="A15" s="17" t="n">
        <v>14</v>
      </c>
      <c r="B15" s="18" t="inlineStr">
        <is>
          <t>1292.26</t>
        </is>
      </c>
      <c r="C15" s="17" t="inlineStr">
        <is>
          <t>18/06/2026</t>
        </is>
      </c>
      <c r="D15" s="17" t="inlineStr">
        <is>
          <t>18/06/2026</t>
        </is>
      </c>
      <c r="E15" s="19" t="inlineStr">
        <is>
          <t>SIRINX S.L.</t>
        </is>
      </c>
      <c r="F15" s="18" t="inlineStr">
        <is>
          <t>B-37034584</t>
        </is>
      </c>
      <c r="G15" s="19" t="inlineStr">
        <is>
          <t>Afinación y atención técnica a 10 pianos verticales (900 €) + piano de cola Yamaha C-3 (110 €)</t>
        </is>
      </c>
      <c r="H15" s="20" t="n">
        <v>1010</v>
      </c>
      <c r="I15" s="21" t="n">
        <v>0.21</v>
      </c>
      <c r="J15" s="20" t="n">
        <v>212.1</v>
      </c>
      <c r="K15" s="21" t="n">
        <v>0</v>
      </c>
      <c r="L15" s="21" t="n">
        <v>0.07000000000000001</v>
      </c>
      <c r="M15" s="20" t="n">
        <v>70.7</v>
      </c>
      <c r="N15" s="20" t="n">
        <v>1222.1</v>
      </c>
      <c r="O15" s="17" t="inlineStr">
        <is>
          <t>Cobrado</t>
        </is>
      </c>
      <c r="P15" s="22" t="inlineStr">
        <is>
          <t>Sujeto a retención profesional de IRPF (7%).</t>
        </is>
      </c>
    </row>
    <row r="16">
      <c r="A16" s="23" t="inlineStr">
        <is>
          <t>Total Trimestre</t>
        </is>
      </c>
      <c r="B16" s="24" t="n"/>
      <c r="C16" s="24" t="n"/>
      <c r="D16" s="24" t="n"/>
      <c r="E16" s="24" t="n"/>
      <c r="F16" s="24" t="n"/>
      <c r="G16" s="24" t="n"/>
      <c r="H16" s="25">
        <f>SUM(H2:H15)</f>
        <v/>
      </c>
      <c r="I16" s="24" t="n"/>
      <c r="J16" s="25">
        <f>SUM(J2:J15)</f>
        <v/>
      </c>
      <c r="K16" s="25">
        <f>SUM(K2:K15)</f>
        <v/>
      </c>
      <c r="L16" s="24" t="n"/>
      <c r="M16" s="25">
        <f>SUM(M2:M15)</f>
        <v/>
      </c>
      <c r="N16" s="25">
        <f>SUM(N2:N15)</f>
        <v/>
      </c>
      <c r="O16" s="24" t="n"/>
      <c r="P16" s="24" t="n"/>
    </row>
  </sheetData>
  <autoFilter ref="A1:P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6" t="inlineStr">
        <is>
          <t>Nº Registro</t>
        </is>
      </c>
      <c r="B1" s="16" t="inlineStr">
        <is>
          <t>Nº Factura</t>
        </is>
      </c>
      <c r="C1" s="16" t="inlineStr">
        <is>
          <t>Fecha de Expedición</t>
        </is>
      </c>
      <c r="D1" s="16" t="inlineStr">
        <is>
          <t>Fecha de Registro</t>
        </is>
      </c>
      <c r="E1" s="16" t="inlineStr">
        <is>
          <t>Proveedor</t>
        </is>
      </c>
      <c r="F1" s="16" t="inlineStr">
        <is>
          <t>NIF</t>
        </is>
      </c>
      <c r="G1" s="16" t="inlineStr">
        <is>
          <t>Concepto</t>
        </is>
      </c>
      <c r="H1" s="16" t="inlineStr">
        <is>
          <t>Categoría de Gasto</t>
        </is>
      </c>
      <c r="I1" s="16" t="inlineStr">
        <is>
          <t>Base Imponible</t>
        </is>
      </c>
      <c r="J1" s="16" t="inlineStr">
        <is>
          <t>Tipo de IVA</t>
        </is>
      </c>
      <c r="K1" s="16" t="inlineStr">
        <is>
          <t>IVA Soportado</t>
        </is>
      </c>
      <c r="L1" s="16" t="inlineStr">
        <is>
          <t>IVA Deducible</t>
        </is>
      </c>
      <c r="M1" s="16" t="inlineStr">
        <is>
          <t>IVA No Deducible</t>
        </is>
      </c>
      <c r="N1" s="16" t="inlineStr">
        <is>
          <t>Retención</t>
        </is>
      </c>
      <c r="O1" s="16" t="inlineStr">
        <is>
          <t>Total Factura</t>
        </is>
      </c>
      <c r="P1" s="16" t="inlineStr">
        <is>
          <t>Estado de Pago</t>
        </is>
      </c>
      <c r="Q1" s="16" t="inlineStr">
        <is>
          <t>Observaciones</t>
        </is>
      </c>
    </row>
    <row r="2"/>
    <row r="3">
      <c r="A3" s="15" t="inlineStr">
        <is>
          <t>No se han facilitado facturas recibidas para el trimestre.</t>
        </is>
      </c>
    </row>
    <row r="4"/>
    <row r="5">
      <c r="A5" s="26" t="inlineStr">
        <is>
          <t>Total Trimestre</t>
        </is>
      </c>
      <c r="B5" s="24" t="n"/>
      <c r="C5" s="24" t="n"/>
      <c r="D5" s="24" t="n"/>
      <c r="E5" s="24" t="n"/>
      <c r="F5" s="24" t="n"/>
      <c r="G5" s="24" t="n"/>
      <c r="H5" s="24" t="n"/>
      <c r="I5" s="25" t="n">
        <v>0</v>
      </c>
      <c r="J5" s="24" t="n"/>
      <c r="K5" s="25" t="n">
        <v>0</v>
      </c>
      <c r="L5" s="25" t="n">
        <v>0</v>
      </c>
      <c r="M5" s="25" t="n">
        <v>0</v>
      </c>
      <c r="N5" s="25" t="n">
        <v>0</v>
      </c>
      <c r="O5" s="25" t="n">
        <v>0</v>
      </c>
      <c r="P5" s="24" t="n"/>
      <c r="Q5" s="24" t="n"/>
    </row>
  </sheetData>
  <autoFilter ref="A1:Q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16" customWidth="1" min="10" max="10"/>
    <col width="29" customWidth="1" min="11" max="11"/>
    <col width="29" customWidth="1" min="12" max="12"/>
  </cols>
  <sheetData>
    <row r="1">
      <c r="A1" s="16" t="inlineStr">
        <is>
          <t>Nº Registro</t>
        </is>
      </c>
      <c r="B1" s="16" t="inlineStr">
        <is>
          <t>Fecha</t>
        </is>
      </c>
      <c r="C1" s="16" t="inlineStr">
        <is>
          <t>Nº Factura o Justificante</t>
        </is>
      </c>
      <c r="D1" s="16" t="inlineStr">
        <is>
          <t>Cliente</t>
        </is>
      </c>
      <c r="E1" s="16" t="inlineStr">
        <is>
          <t>NIF</t>
        </is>
      </c>
      <c r="F1" s="16" t="inlineStr">
        <is>
          <t>Concepto</t>
        </is>
      </c>
      <c r="G1" s="16" t="inlineStr">
        <is>
          <t>Importe Íntegro</t>
        </is>
      </c>
      <c r="H1" s="16" t="inlineStr">
        <is>
          <t>IVA Repercutido</t>
        </is>
      </c>
      <c r="I1" s="16" t="inlineStr">
        <is>
          <t>Retención Soportada</t>
        </is>
      </c>
      <c r="J1" s="16" t="inlineStr">
        <is>
          <t>Ingreso Computable</t>
        </is>
      </c>
      <c r="K1" s="16" t="inlineStr">
        <is>
          <t>Estado de Cobro</t>
        </is>
      </c>
      <c r="L1" s="16" t="inlineStr">
        <is>
          <t>Observaciones</t>
        </is>
      </c>
    </row>
    <row r="2">
      <c r="A2" s="17">
        <f> 'Facturas emitidas'!A2</f>
        <v/>
      </c>
      <c r="B2" s="17">
        <f> 'Facturas emitidas'!C2</f>
        <v/>
      </c>
      <c r="C2" s="18">
        <f> 'Facturas emitidas'!B2</f>
        <v/>
      </c>
      <c r="D2" s="19">
        <f> 'Facturas emitidas'!E2</f>
        <v/>
      </c>
      <c r="E2" s="18">
        <f> 'Facturas emitidas'!F2</f>
        <v/>
      </c>
      <c r="F2" s="19">
        <f> 'Facturas emitidas'!G2</f>
        <v/>
      </c>
      <c r="G2" s="20">
        <f> 'Facturas emitidas'!H2</f>
        <v/>
      </c>
      <c r="H2" s="20">
        <f> 'Facturas emitidas'!J2</f>
        <v/>
      </c>
      <c r="I2" s="20">
        <f> 'Facturas emitidas'!M2</f>
        <v/>
      </c>
      <c r="J2" s="20">
        <f>G2</f>
        <v/>
      </c>
      <c r="K2" s="17">
        <f> 'Facturas emitidas'!O2</f>
        <v/>
      </c>
      <c r="L2" s="19">
        <f> 'Facturas emitidas'!P2</f>
        <v/>
      </c>
    </row>
    <row r="3">
      <c r="A3" s="17">
        <f> 'Facturas emitidas'!A3</f>
        <v/>
      </c>
      <c r="B3" s="17">
        <f> 'Facturas emitidas'!C3</f>
        <v/>
      </c>
      <c r="C3" s="18">
        <f> 'Facturas emitidas'!B3</f>
        <v/>
      </c>
      <c r="D3" s="19">
        <f> 'Facturas emitidas'!E3</f>
        <v/>
      </c>
      <c r="E3" s="18">
        <f> 'Facturas emitidas'!F3</f>
        <v/>
      </c>
      <c r="F3" s="19">
        <f> 'Facturas emitidas'!G3</f>
        <v/>
      </c>
      <c r="G3" s="20">
        <f> 'Facturas emitidas'!H3</f>
        <v/>
      </c>
      <c r="H3" s="20">
        <f> 'Facturas emitidas'!J3</f>
        <v/>
      </c>
      <c r="I3" s="20">
        <f> 'Facturas emitidas'!M3</f>
        <v/>
      </c>
      <c r="J3" s="20">
        <f>G3</f>
        <v/>
      </c>
      <c r="K3" s="17">
        <f> 'Facturas emitidas'!O3</f>
        <v/>
      </c>
      <c r="L3" s="19">
        <f> 'Facturas emitidas'!P3</f>
        <v/>
      </c>
    </row>
    <row r="4">
      <c r="A4" s="17">
        <f> 'Facturas emitidas'!A4</f>
        <v/>
      </c>
      <c r="B4" s="17">
        <f> 'Facturas emitidas'!C4</f>
        <v/>
      </c>
      <c r="C4" s="18">
        <f> 'Facturas emitidas'!B4</f>
        <v/>
      </c>
      <c r="D4" s="19">
        <f> 'Facturas emitidas'!E4</f>
        <v/>
      </c>
      <c r="E4" s="18">
        <f> 'Facturas emitidas'!F4</f>
        <v/>
      </c>
      <c r="F4" s="19">
        <f> 'Facturas emitidas'!G4</f>
        <v/>
      </c>
      <c r="G4" s="20">
        <f> 'Facturas emitidas'!H4</f>
        <v/>
      </c>
      <c r="H4" s="20">
        <f> 'Facturas emitidas'!J4</f>
        <v/>
      </c>
      <c r="I4" s="20">
        <f> 'Facturas emitidas'!M4</f>
        <v/>
      </c>
      <c r="J4" s="20">
        <f>G4</f>
        <v/>
      </c>
      <c r="K4" s="17">
        <f> 'Facturas emitidas'!O4</f>
        <v/>
      </c>
      <c r="L4" s="19">
        <f> 'Facturas emitidas'!P4</f>
        <v/>
      </c>
    </row>
    <row r="5">
      <c r="A5" s="17">
        <f> 'Facturas emitidas'!A5</f>
        <v/>
      </c>
      <c r="B5" s="17">
        <f> 'Facturas emitidas'!C5</f>
        <v/>
      </c>
      <c r="C5" s="18">
        <f> 'Facturas emitidas'!B5</f>
        <v/>
      </c>
      <c r="D5" s="19">
        <f> 'Facturas emitidas'!E5</f>
        <v/>
      </c>
      <c r="E5" s="18">
        <f> 'Facturas emitidas'!F5</f>
        <v/>
      </c>
      <c r="F5" s="19">
        <f> 'Facturas emitidas'!G5</f>
        <v/>
      </c>
      <c r="G5" s="20">
        <f> 'Facturas emitidas'!H5</f>
        <v/>
      </c>
      <c r="H5" s="20">
        <f> 'Facturas emitidas'!J5</f>
        <v/>
      </c>
      <c r="I5" s="20">
        <f> 'Facturas emitidas'!M5</f>
        <v/>
      </c>
      <c r="J5" s="20">
        <f>G5</f>
        <v/>
      </c>
      <c r="K5" s="17">
        <f> 'Facturas emitidas'!O5</f>
        <v/>
      </c>
      <c r="L5" s="19">
        <f> 'Facturas emitidas'!P5</f>
        <v/>
      </c>
    </row>
    <row r="6">
      <c r="A6" s="17">
        <f> 'Facturas emitidas'!A6</f>
        <v/>
      </c>
      <c r="B6" s="17">
        <f> 'Facturas emitidas'!C6</f>
        <v/>
      </c>
      <c r="C6" s="18">
        <f> 'Facturas emitidas'!B6</f>
        <v/>
      </c>
      <c r="D6" s="19">
        <f> 'Facturas emitidas'!E6</f>
        <v/>
      </c>
      <c r="E6" s="18">
        <f> 'Facturas emitidas'!F6</f>
        <v/>
      </c>
      <c r="F6" s="19">
        <f> 'Facturas emitidas'!G6</f>
        <v/>
      </c>
      <c r="G6" s="20">
        <f> 'Facturas emitidas'!H6</f>
        <v/>
      </c>
      <c r="H6" s="20">
        <f> 'Facturas emitidas'!J6</f>
        <v/>
      </c>
      <c r="I6" s="20">
        <f> 'Facturas emitidas'!M6</f>
        <v/>
      </c>
      <c r="J6" s="20">
        <f>G6</f>
        <v/>
      </c>
      <c r="K6" s="17">
        <f> 'Facturas emitidas'!O6</f>
        <v/>
      </c>
      <c r="L6" s="19">
        <f> 'Facturas emitidas'!P6</f>
        <v/>
      </c>
    </row>
    <row r="7">
      <c r="A7" s="17">
        <f> 'Facturas emitidas'!A7</f>
        <v/>
      </c>
      <c r="B7" s="17">
        <f> 'Facturas emitidas'!C7</f>
        <v/>
      </c>
      <c r="C7" s="18">
        <f> 'Facturas emitidas'!B7</f>
        <v/>
      </c>
      <c r="D7" s="19">
        <f> 'Facturas emitidas'!E7</f>
        <v/>
      </c>
      <c r="E7" s="18">
        <f> 'Facturas emitidas'!F7</f>
        <v/>
      </c>
      <c r="F7" s="19">
        <f> 'Facturas emitidas'!G7</f>
        <v/>
      </c>
      <c r="G7" s="20">
        <f> 'Facturas emitidas'!H7</f>
        <v/>
      </c>
      <c r="H7" s="20">
        <f> 'Facturas emitidas'!J7</f>
        <v/>
      </c>
      <c r="I7" s="20">
        <f> 'Facturas emitidas'!M7</f>
        <v/>
      </c>
      <c r="J7" s="20">
        <f>G7</f>
        <v/>
      </c>
      <c r="K7" s="17">
        <f> 'Facturas emitidas'!O7</f>
        <v/>
      </c>
      <c r="L7" s="19">
        <f> 'Facturas emitidas'!P7</f>
        <v/>
      </c>
    </row>
    <row r="8">
      <c r="A8" s="17">
        <f> 'Facturas emitidas'!A8</f>
        <v/>
      </c>
      <c r="B8" s="17">
        <f> 'Facturas emitidas'!C8</f>
        <v/>
      </c>
      <c r="C8" s="18">
        <f> 'Facturas emitidas'!B8</f>
        <v/>
      </c>
      <c r="D8" s="19">
        <f> 'Facturas emitidas'!E8</f>
        <v/>
      </c>
      <c r="E8" s="18">
        <f> 'Facturas emitidas'!F8</f>
        <v/>
      </c>
      <c r="F8" s="19">
        <f> 'Facturas emitidas'!G8</f>
        <v/>
      </c>
      <c r="G8" s="20">
        <f> 'Facturas emitidas'!H8</f>
        <v/>
      </c>
      <c r="H8" s="20">
        <f> 'Facturas emitidas'!J8</f>
        <v/>
      </c>
      <c r="I8" s="20">
        <f> 'Facturas emitidas'!M8</f>
        <v/>
      </c>
      <c r="J8" s="20">
        <f>G8</f>
        <v/>
      </c>
      <c r="K8" s="17">
        <f> 'Facturas emitidas'!O8</f>
        <v/>
      </c>
      <c r="L8" s="19">
        <f> 'Facturas emitidas'!P8</f>
        <v/>
      </c>
    </row>
    <row r="9">
      <c r="A9" s="17">
        <f> 'Facturas emitidas'!A9</f>
        <v/>
      </c>
      <c r="B9" s="17">
        <f> 'Facturas emitidas'!C9</f>
        <v/>
      </c>
      <c r="C9" s="18">
        <f> 'Facturas emitidas'!B9</f>
        <v/>
      </c>
      <c r="D9" s="19">
        <f> 'Facturas emitidas'!E9</f>
        <v/>
      </c>
      <c r="E9" s="18">
        <f> 'Facturas emitidas'!F9</f>
        <v/>
      </c>
      <c r="F9" s="19">
        <f> 'Facturas emitidas'!G9</f>
        <v/>
      </c>
      <c r="G9" s="20">
        <f> 'Facturas emitidas'!H9</f>
        <v/>
      </c>
      <c r="H9" s="20">
        <f> 'Facturas emitidas'!J9</f>
        <v/>
      </c>
      <c r="I9" s="20">
        <f> 'Facturas emitidas'!M9</f>
        <v/>
      </c>
      <c r="J9" s="20">
        <f>G9</f>
        <v/>
      </c>
      <c r="K9" s="17">
        <f> 'Facturas emitidas'!O9</f>
        <v/>
      </c>
      <c r="L9" s="19">
        <f> 'Facturas emitidas'!P9</f>
        <v/>
      </c>
    </row>
    <row r="10">
      <c r="A10" s="17">
        <f> 'Facturas emitidas'!A10</f>
        <v/>
      </c>
      <c r="B10" s="17">
        <f> 'Facturas emitidas'!C10</f>
        <v/>
      </c>
      <c r="C10" s="18">
        <f> 'Facturas emitidas'!B10</f>
        <v/>
      </c>
      <c r="D10" s="19">
        <f> 'Facturas emitidas'!E10</f>
        <v/>
      </c>
      <c r="E10" s="18">
        <f> 'Facturas emitidas'!F10</f>
        <v/>
      </c>
      <c r="F10" s="19">
        <f> 'Facturas emitidas'!G10</f>
        <v/>
      </c>
      <c r="G10" s="20">
        <f> 'Facturas emitidas'!H10</f>
        <v/>
      </c>
      <c r="H10" s="20">
        <f> 'Facturas emitidas'!J10</f>
        <v/>
      </c>
      <c r="I10" s="20">
        <f> 'Facturas emitidas'!M10</f>
        <v/>
      </c>
      <c r="J10" s="20">
        <f>G10</f>
        <v/>
      </c>
      <c r="K10" s="17">
        <f> 'Facturas emitidas'!O10</f>
        <v/>
      </c>
      <c r="L10" s="19">
        <f> 'Facturas emitidas'!P10</f>
        <v/>
      </c>
    </row>
    <row r="11">
      <c r="A11" s="17">
        <f> 'Facturas emitidas'!A11</f>
        <v/>
      </c>
      <c r="B11" s="17">
        <f> 'Facturas emitidas'!C11</f>
        <v/>
      </c>
      <c r="C11" s="18">
        <f> 'Facturas emitidas'!B11</f>
        <v/>
      </c>
      <c r="D11" s="19">
        <f> 'Facturas emitidas'!E11</f>
        <v/>
      </c>
      <c r="E11" s="18">
        <f> 'Facturas emitidas'!F11</f>
        <v/>
      </c>
      <c r="F11" s="19">
        <f> 'Facturas emitidas'!G11</f>
        <v/>
      </c>
      <c r="G11" s="20">
        <f> 'Facturas emitidas'!H11</f>
        <v/>
      </c>
      <c r="H11" s="20">
        <f> 'Facturas emitidas'!J11</f>
        <v/>
      </c>
      <c r="I11" s="20">
        <f> 'Facturas emitidas'!M11</f>
        <v/>
      </c>
      <c r="J11" s="20">
        <f>G11</f>
        <v/>
      </c>
      <c r="K11" s="17">
        <f> 'Facturas emitidas'!O11</f>
        <v/>
      </c>
      <c r="L11" s="19">
        <f> 'Facturas emitidas'!P11</f>
        <v/>
      </c>
    </row>
    <row r="12">
      <c r="A12" s="17">
        <f> 'Facturas emitidas'!A12</f>
        <v/>
      </c>
      <c r="B12" s="17">
        <f> 'Facturas emitidas'!C12</f>
        <v/>
      </c>
      <c r="C12" s="18">
        <f> 'Facturas emitidas'!B12</f>
        <v/>
      </c>
      <c r="D12" s="19">
        <f> 'Facturas emitidas'!E12</f>
        <v/>
      </c>
      <c r="E12" s="18">
        <f> 'Facturas emitidas'!F12</f>
        <v/>
      </c>
      <c r="F12" s="19">
        <f> 'Facturas emitidas'!G12</f>
        <v/>
      </c>
      <c r="G12" s="20">
        <f> 'Facturas emitidas'!H12</f>
        <v/>
      </c>
      <c r="H12" s="20">
        <f> 'Facturas emitidas'!J12</f>
        <v/>
      </c>
      <c r="I12" s="20">
        <f> 'Facturas emitidas'!M12</f>
        <v/>
      </c>
      <c r="J12" s="20">
        <f>G12</f>
        <v/>
      </c>
      <c r="K12" s="17">
        <f> 'Facturas emitidas'!O12</f>
        <v/>
      </c>
      <c r="L12" s="19">
        <f> 'Facturas emitidas'!P12</f>
        <v/>
      </c>
    </row>
    <row r="13">
      <c r="A13" s="17">
        <f> 'Facturas emitidas'!A13</f>
        <v/>
      </c>
      <c r="B13" s="17">
        <f> 'Facturas emitidas'!C13</f>
        <v/>
      </c>
      <c r="C13" s="18">
        <f> 'Facturas emitidas'!B13</f>
        <v/>
      </c>
      <c r="D13" s="19">
        <f> 'Facturas emitidas'!E13</f>
        <v/>
      </c>
      <c r="E13" s="18">
        <f> 'Facturas emitidas'!F13</f>
        <v/>
      </c>
      <c r="F13" s="19">
        <f> 'Facturas emitidas'!G13</f>
        <v/>
      </c>
      <c r="G13" s="20">
        <f> 'Facturas emitidas'!H13</f>
        <v/>
      </c>
      <c r="H13" s="20">
        <f> 'Facturas emitidas'!J13</f>
        <v/>
      </c>
      <c r="I13" s="20">
        <f> 'Facturas emitidas'!M13</f>
        <v/>
      </c>
      <c r="J13" s="20">
        <f>G13</f>
        <v/>
      </c>
      <c r="K13" s="17">
        <f> 'Facturas emitidas'!O13</f>
        <v/>
      </c>
      <c r="L13" s="19">
        <f> 'Facturas emitidas'!P13</f>
        <v/>
      </c>
    </row>
    <row r="14">
      <c r="A14" s="17">
        <f> 'Facturas emitidas'!A14</f>
        <v/>
      </c>
      <c r="B14" s="17">
        <f> 'Facturas emitidas'!C14</f>
        <v/>
      </c>
      <c r="C14" s="18">
        <f> 'Facturas emitidas'!B14</f>
        <v/>
      </c>
      <c r="D14" s="19">
        <f> 'Facturas emitidas'!E14</f>
        <v/>
      </c>
      <c r="E14" s="18">
        <f> 'Facturas emitidas'!F14</f>
        <v/>
      </c>
      <c r="F14" s="19">
        <f> 'Facturas emitidas'!G14</f>
        <v/>
      </c>
      <c r="G14" s="20">
        <f> 'Facturas emitidas'!H14</f>
        <v/>
      </c>
      <c r="H14" s="20">
        <f> 'Facturas emitidas'!J14</f>
        <v/>
      </c>
      <c r="I14" s="20">
        <f> 'Facturas emitidas'!M14</f>
        <v/>
      </c>
      <c r="J14" s="20">
        <f>G14</f>
        <v/>
      </c>
      <c r="K14" s="17">
        <f> 'Facturas emitidas'!O14</f>
        <v/>
      </c>
      <c r="L14" s="19">
        <f> 'Facturas emitidas'!P14</f>
        <v/>
      </c>
    </row>
    <row r="15">
      <c r="A15" s="17">
        <f> 'Facturas emitidas'!A15</f>
        <v/>
      </c>
      <c r="B15" s="17">
        <f> 'Facturas emitidas'!C15</f>
        <v/>
      </c>
      <c r="C15" s="18">
        <f> 'Facturas emitidas'!B15</f>
        <v/>
      </c>
      <c r="D15" s="19">
        <f> 'Facturas emitidas'!E15</f>
        <v/>
      </c>
      <c r="E15" s="18">
        <f> 'Facturas emitidas'!F15</f>
        <v/>
      </c>
      <c r="F15" s="19">
        <f> 'Facturas emitidas'!G15</f>
        <v/>
      </c>
      <c r="G15" s="20">
        <f> 'Facturas emitidas'!H15</f>
        <v/>
      </c>
      <c r="H15" s="20">
        <f> 'Facturas emitidas'!J15</f>
        <v/>
      </c>
      <c r="I15" s="20">
        <f> 'Facturas emitidas'!M15</f>
        <v/>
      </c>
      <c r="J15" s="20">
        <f>G15</f>
        <v/>
      </c>
      <c r="K15" s="17">
        <f> 'Facturas emitidas'!O15</f>
        <v/>
      </c>
      <c r="L15" s="19">
        <f> 'Facturas emitidas'!P15</f>
        <v/>
      </c>
    </row>
    <row r="16">
      <c r="A16" s="23" t="inlineStr">
        <is>
          <t>Total Trimestre</t>
        </is>
      </c>
      <c r="B16" s="24" t="n"/>
      <c r="C16" s="24" t="n"/>
      <c r="D16" s="24" t="n"/>
      <c r="E16" s="24" t="n"/>
      <c r="F16" s="24" t="n"/>
      <c r="G16" s="25">
        <f>SUM(G2:G15)</f>
        <v/>
      </c>
      <c r="H16" s="25">
        <f>SUM(H2:H15)</f>
        <v/>
      </c>
      <c r="I16" s="25">
        <f>SUM(I2:I15)</f>
        <v/>
      </c>
      <c r="J16" s="25">
        <f>SUM(J2:J15)</f>
        <v/>
      </c>
      <c r="K16" s="24" t="n"/>
      <c r="L16" s="24" t="n"/>
    </row>
  </sheetData>
  <autoFilter ref="A1:L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6" t="inlineStr">
        <is>
          <t>Nº Registro</t>
        </is>
      </c>
      <c r="B1" s="16" t="inlineStr">
        <is>
          <t>Fecha</t>
        </is>
      </c>
      <c r="C1" s="16" t="inlineStr">
        <is>
          <t>Nº Factura o Justificante</t>
        </is>
      </c>
      <c r="D1" s="16" t="inlineStr">
        <is>
          <t>Proveedor</t>
        </is>
      </c>
      <c r="E1" s="16" t="inlineStr">
        <is>
          <t>NIF</t>
        </is>
      </c>
      <c r="F1" s="16" t="inlineStr">
        <is>
          <t>Concepto</t>
        </is>
      </c>
      <c r="G1" s="16" t="inlineStr">
        <is>
          <t>Categoría Fiscal</t>
        </is>
      </c>
      <c r="H1" s="16" t="inlineStr">
        <is>
          <t>Importe Total</t>
        </is>
      </c>
      <c r="I1" s="16" t="inlineStr">
        <is>
          <t>Base Deducible</t>
        </is>
      </c>
      <c r="J1" s="16" t="inlineStr">
        <is>
          <t>IVA Deducible</t>
        </is>
      </c>
      <c r="K1" s="16" t="inlineStr">
        <is>
          <t>Retención Practicada</t>
        </is>
      </c>
      <c r="L1" s="16" t="inlineStr">
        <is>
          <t>Porcentaje de Deducibilidad</t>
        </is>
      </c>
      <c r="M1" s="16" t="inlineStr">
        <is>
          <t>Gasto Fiscalmente Deducible</t>
        </is>
      </c>
      <c r="N1" s="16" t="inlineStr">
        <is>
          <t>Estado de Pago</t>
        </is>
      </c>
      <c r="O1" s="16" t="inlineStr">
        <is>
          <t>Observaciones</t>
        </is>
      </c>
    </row>
    <row r="2"/>
    <row r="3">
      <c r="A3" s="15" t="inlineStr">
        <is>
          <t>No se han facilitado facturas o justificantes de gastos para el trimestre.</t>
        </is>
      </c>
    </row>
    <row r="4"/>
    <row r="5">
      <c r="A5" s="26" t="inlineStr">
        <is>
          <t>Total Trimestre</t>
        </is>
      </c>
      <c r="B5" s="24" t="n"/>
      <c r="C5" s="24" t="n"/>
      <c r="D5" s="24" t="n"/>
      <c r="E5" s="24" t="n"/>
      <c r="F5" s="24" t="n"/>
      <c r="G5" s="24" t="n"/>
      <c r="H5" s="25" t="n">
        <v>0</v>
      </c>
      <c r="I5" s="25" t="n">
        <v>0</v>
      </c>
      <c r="J5" s="25" t="n">
        <v>0</v>
      </c>
      <c r="K5" s="25" t="n">
        <v>0</v>
      </c>
      <c r="L5" s="24" t="n"/>
      <c r="M5" s="25" t="n">
        <v>0</v>
      </c>
      <c r="N5" s="24" t="n"/>
      <c r="O5" s="24" t="n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6" t="inlineStr">
        <is>
          <t>Nº Registro</t>
        </is>
      </c>
      <c r="B1" s="16" t="inlineStr">
        <is>
          <t>Fecha de Adquisición</t>
        </is>
      </c>
      <c r="C1" s="16" t="inlineStr">
        <is>
          <t>Proveedor</t>
        </is>
      </c>
      <c r="D1" s="16" t="inlineStr">
        <is>
          <t>NIF</t>
        </is>
      </c>
      <c r="E1" s="16" t="inlineStr">
        <is>
          <t>Nº Factura</t>
        </is>
      </c>
      <c r="F1" s="16" t="inlineStr">
        <is>
          <t>Descripción del Bien</t>
        </is>
      </c>
      <c r="G1" s="16" t="inlineStr">
        <is>
          <t>Base Imponible</t>
        </is>
      </c>
      <c r="H1" s="16" t="inlineStr">
        <is>
          <t>IVA Soportado</t>
        </is>
      </c>
      <c r="I1" s="16" t="inlineStr">
        <is>
          <t>IVA Deducible</t>
        </is>
      </c>
      <c r="J1" s="16" t="inlineStr">
        <is>
          <t>Fecha Puesta en Funcionamiento</t>
        </is>
      </c>
      <c r="K1" s="16" t="inlineStr">
        <is>
          <t>Vida Útil Estimada</t>
        </is>
      </c>
      <c r="L1" s="16" t="inlineStr">
        <is>
          <t>Porcentaje de Amortización</t>
        </is>
      </c>
      <c r="M1" s="16" t="inlineStr">
        <is>
          <t>Amortización del Ejercicio</t>
        </is>
      </c>
      <c r="N1" s="16" t="inlineStr">
        <is>
          <t>Amortización Acumulada</t>
        </is>
      </c>
      <c r="O1" s="16" t="inlineStr">
        <is>
          <t>Valor Pendiente</t>
        </is>
      </c>
      <c r="P1" s="16" t="inlineStr">
        <is>
          <t>Periodo Regularización IVA</t>
        </is>
      </c>
      <c r="Q1" s="16" t="inlineStr">
        <is>
          <t>Observaciones</t>
        </is>
      </c>
    </row>
    <row r="2"/>
    <row r="3">
      <c r="A3" s="15" t="inlineStr">
        <is>
          <t>No constan adquisiciones de bienes de inversión en la documentación analizada.</t>
        </is>
      </c>
    </row>
    <row r="4"/>
    <row r="5">
      <c r="A5" s="26" t="inlineStr">
        <is>
          <t>Total Trimestre</t>
        </is>
      </c>
      <c r="B5" s="24" t="n"/>
      <c r="C5" s="24" t="n"/>
      <c r="D5" s="24" t="n"/>
      <c r="E5" s="24" t="n"/>
      <c r="F5" s="24" t="n"/>
      <c r="G5" s="25" t="n">
        <v>0</v>
      </c>
      <c r="H5" s="25" t="n">
        <v>0</v>
      </c>
      <c r="I5" s="25" t="n">
        <v>0</v>
      </c>
      <c r="J5" s="24" t="n"/>
      <c r="K5" s="24" t="n"/>
      <c r="L5" s="24" t="n"/>
      <c r="M5" s="25" t="n">
        <v>0</v>
      </c>
      <c r="N5" s="25" t="n">
        <v>0</v>
      </c>
      <c r="O5" s="25" t="n">
        <v>0</v>
      </c>
      <c r="P5" s="24" t="n"/>
      <c r="Q5" s="24" t="n"/>
    </row>
  </sheetData>
  <autoFilter ref="A1:Q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15" customWidth="1" min="10" max="10"/>
  </cols>
  <sheetData>
    <row r="1">
      <c r="A1" s="16" t="inlineStr">
        <is>
          <t>Nº Registro</t>
        </is>
      </c>
      <c r="B1" s="16" t="inlineStr">
        <is>
          <t>Nº Factura</t>
        </is>
      </c>
      <c r="C1" s="16" t="inlineStr">
        <is>
          <t>Fecha de Expedición</t>
        </is>
      </c>
      <c r="D1" s="16" t="inlineStr">
        <is>
          <t>Cliente / Pagador</t>
        </is>
      </c>
      <c r="E1" s="16" t="inlineStr">
        <is>
          <t>NIF</t>
        </is>
      </c>
      <c r="F1" s="16" t="inlineStr">
        <is>
          <t>Concepto</t>
        </is>
      </c>
      <c r="G1" s="16" t="inlineStr">
        <is>
          <t>Base Imponible</t>
        </is>
      </c>
      <c r="H1" s="16" t="inlineStr">
        <is>
          <t>Tipo de Retención (%)</t>
        </is>
      </c>
      <c r="I1" s="16" t="inlineStr">
        <is>
          <t>Retención Sufrida (Soportada)</t>
        </is>
      </c>
      <c r="J1" s="16" t="inlineStr">
        <is>
          <t>Retención Practicada (a Terceros)</t>
        </is>
      </c>
    </row>
    <row r="2">
      <c r="A2" s="17">
        <f> 'Facturas emitidas'!A3</f>
        <v/>
      </c>
      <c r="B2" s="18">
        <f> 'Facturas emitidas'!B3</f>
        <v/>
      </c>
      <c r="C2" s="17">
        <f> 'Facturas emitidas'!C3</f>
        <v/>
      </c>
      <c r="D2" s="19">
        <f> 'Facturas emitidas'!E3</f>
        <v/>
      </c>
      <c r="E2" s="18">
        <f> 'Facturas emitidas'!F3</f>
        <v/>
      </c>
      <c r="F2" s="19">
        <f> 'Facturas emitidas'!G3</f>
        <v/>
      </c>
      <c r="G2" s="20">
        <f> 'Facturas emitidas'!H3</f>
        <v/>
      </c>
      <c r="H2" s="21">
        <f> 'Facturas emitidas'!L3</f>
        <v/>
      </c>
      <c r="I2" s="20">
        <f> 'Facturas emitidas'!M3</f>
        <v/>
      </c>
      <c r="J2" s="20" t="n">
        <v>0</v>
      </c>
    </row>
    <row r="3">
      <c r="A3" s="17">
        <f> 'Facturas emitidas'!A5</f>
        <v/>
      </c>
      <c r="B3" s="18">
        <f> 'Facturas emitidas'!B5</f>
        <v/>
      </c>
      <c r="C3" s="17">
        <f> 'Facturas emitidas'!C5</f>
        <v/>
      </c>
      <c r="D3" s="19">
        <f> 'Facturas emitidas'!E5</f>
        <v/>
      </c>
      <c r="E3" s="18">
        <f> 'Facturas emitidas'!F5</f>
        <v/>
      </c>
      <c r="F3" s="19">
        <f> 'Facturas emitidas'!G5</f>
        <v/>
      </c>
      <c r="G3" s="20">
        <f> 'Facturas emitidas'!H5</f>
        <v/>
      </c>
      <c r="H3" s="21">
        <f> 'Facturas emitidas'!L5</f>
        <v/>
      </c>
      <c r="I3" s="20">
        <f> 'Facturas emitidas'!M5</f>
        <v/>
      </c>
      <c r="J3" s="20" t="n">
        <v>0</v>
      </c>
    </row>
    <row r="4">
      <c r="A4" s="17">
        <f> 'Facturas emitidas'!A6</f>
        <v/>
      </c>
      <c r="B4" s="18">
        <f> 'Facturas emitidas'!B6</f>
        <v/>
      </c>
      <c r="C4" s="17">
        <f> 'Facturas emitidas'!C6</f>
        <v/>
      </c>
      <c r="D4" s="19">
        <f> 'Facturas emitidas'!E6</f>
        <v/>
      </c>
      <c r="E4" s="18">
        <f> 'Facturas emitidas'!F6</f>
        <v/>
      </c>
      <c r="F4" s="19">
        <f> 'Facturas emitidas'!G6</f>
        <v/>
      </c>
      <c r="G4" s="20">
        <f> 'Facturas emitidas'!H6</f>
        <v/>
      </c>
      <c r="H4" s="21">
        <f> 'Facturas emitidas'!L6</f>
        <v/>
      </c>
      <c r="I4" s="20">
        <f> 'Facturas emitidas'!M6</f>
        <v/>
      </c>
      <c r="J4" s="20" t="n">
        <v>0</v>
      </c>
    </row>
    <row r="5">
      <c r="A5" s="17">
        <f> 'Facturas emitidas'!A7</f>
        <v/>
      </c>
      <c r="B5" s="18">
        <f> 'Facturas emitidas'!B7</f>
        <v/>
      </c>
      <c r="C5" s="17">
        <f> 'Facturas emitidas'!C7</f>
        <v/>
      </c>
      <c r="D5" s="19">
        <f> 'Facturas emitidas'!E7</f>
        <v/>
      </c>
      <c r="E5" s="18">
        <f> 'Facturas emitidas'!F7</f>
        <v/>
      </c>
      <c r="F5" s="19">
        <f> 'Facturas emitidas'!G7</f>
        <v/>
      </c>
      <c r="G5" s="20">
        <f> 'Facturas emitidas'!H7</f>
        <v/>
      </c>
      <c r="H5" s="21">
        <f> 'Facturas emitidas'!L7</f>
        <v/>
      </c>
      <c r="I5" s="20">
        <f> 'Facturas emitidas'!M7</f>
        <v/>
      </c>
      <c r="J5" s="20" t="n">
        <v>0</v>
      </c>
    </row>
    <row r="6">
      <c r="A6" s="17">
        <f> 'Facturas emitidas'!A9</f>
        <v/>
      </c>
      <c r="B6" s="18">
        <f> 'Facturas emitidas'!B9</f>
        <v/>
      </c>
      <c r="C6" s="17">
        <f> 'Facturas emitidas'!C9</f>
        <v/>
      </c>
      <c r="D6" s="19">
        <f> 'Facturas emitidas'!E9</f>
        <v/>
      </c>
      <c r="E6" s="18">
        <f> 'Facturas emitidas'!F9</f>
        <v/>
      </c>
      <c r="F6" s="19">
        <f> 'Facturas emitidas'!G9</f>
        <v/>
      </c>
      <c r="G6" s="20">
        <f> 'Facturas emitidas'!H9</f>
        <v/>
      </c>
      <c r="H6" s="21">
        <f> 'Facturas emitidas'!L9</f>
        <v/>
      </c>
      <c r="I6" s="20">
        <f> 'Facturas emitidas'!M9</f>
        <v/>
      </c>
      <c r="J6" s="20" t="n">
        <v>0</v>
      </c>
    </row>
    <row r="7">
      <c r="A7" s="17">
        <f> 'Facturas emitidas'!A14</f>
        <v/>
      </c>
      <c r="B7" s="18">
        <f> 'Facturas emitidas'!B14</f>
        <v/>
      </c>
      <c r="C7" s="17">
        <f> 'Facturas emitidas'!C14</f>
        <v/>
      </c>
      <c r="D7" s="19">
        <f> 'Facturas emitidas'!E14</f>
        <v/>
      </c>
      <c r="E7" s="18">
        <f> 'Facturas emitidas'!F14</f>
        <v/>
      </c>
      <c r="F7" s="19">
        <f> 'Facturas emitidas'!G14</f>
        <v/>
      </c>
      <c r="G7" s="20">
        <f> 'Facturas emitidas'!H14</f>
        <v/>
      </c>
      <c r="H7" s="21">
        <f> 'Facturas emitidas'!L14</f>
        <v/>
      </c>
      <c r="I7" s="20">
        <f> 'Facturas emitidas'!M14</f>
        <v/>
      </c>
      <c r="J7" s="20" t="n">
        <v>0</v>
      </c>
    </row>
    <row r="8">
      <c r="A8" s="23" t="inlineStr">
        <is>
          <t>Total Trimestre</t>
        </is>
      </c>
      <c r="B8" s="24" t="n"/>
      <c r="C8" s="24" t="n"/>
      <c r="D8" s="24" t="n"/>
      <c r="E8" s="24" t="n"/>
      <c r="F8" s="24" t="n"/>
      <c r="G8" s="25">
        <f>SUM(G2:G7)</f>
        <v/>
      </c>
      <c r="H8" s="24" t="n"/>
      <c r="I8" s="25">
        <f>SUM(I2:I7)</f>
        <v/>
      </c>
      <c r="J8" s="25">
        <f>SUM(J2:J7)</f>
        <v/>
      </c>
    </row>
  </sheetData>
  <autoFilter ref="A1:J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5" customWidth="1" min="4" max="4"/>
  </cols>
  <sheetData>
    <row r="1">
      <c r="A1" s="16" t="inlineStr">
        <is>
          <t>Tipo de IVA</t>
        </is>
      </c>
      <c r="B1" s="16" t="inlineStr">
        <is>
          <t>Base Imponible</t>
        </is>
      </c>
      <c r="C1" s="16" t="inlineStr">
        <is>
          <t>Cuota de IVA</t>
        </is>
      </c>
      <c r="D1" s="16" t="inlineStr">
        <is>
          <t>Nº Facturas</t>
        </is>
      </c>
    </row>
    <row r="2">
      <c r="A2" s="19" t="inlineStr">
        <is>
          <t>IVA General (21%)</t>
        </is>
      </c>
      <c r="B2" s="20">
        <f>SUMIF('Facturas emitidas'!I2:I15, 0.21, 'Facturas emitidas'!H2:H15)</f>
        <v/>
      </c>
      <c r="C2" s="20">
        <f>SUMIF('Facturas emitidas'!I2:I15, 0.21, 'Facturas emitidas'!J2:J15)</f>
        <v/>
      </c>
      <c r="D2" s="27">
        <f>COUNTIF('Facturas emitidas'!I2:I15, 0.21)</f>
        <v/>
      </c>
    </row>
    <row r="3">
      <c r="A3" s="19" t="inlineStr">
        <is>
          <t>IVA Reducido (10%)</t>
        </is>
      </c>
      <c r="B3" s="20">
        <f>SUMIF('Facturas emitidas'!I2:I15, 0.10, 'Facturas emitidas'!H2:H15)</f>
        <v/>
      </c>
      <c r="C3" s="20">
        <f>SUMIF('Facturas emitidas'!I2:I15, 0.10, 'Facturas emitidas'!J2:J15)</f>
        <v/>
      </c>
      <c r="D3" s="27">
        <f>COUNTIF('Facturas emitidas'!I2:I15, 0.10)</f>
        <v/>
      </c>
    </row>
    <row r="4">
      <c r="A4" s="19" t="inlineStr">
        <is>
          <t>IVA Exento / Operaciones Intracomunitarias (0%)</t>
        </is>
      </c>
      <c r="B4" s="20">
        <f>SUMIF('Facturas emitidas'!I2:I15, 0.00, 'Facturas emitidas'!H2:H15)</f>
        <v/>
      </c>
      <c r="C4" s="20">
        <f>SUMIF('Facturas emitidas'!I2:I15, 0.00, 'Facturas emitidas'!J2:J15)</f>
        <v/>
      </c>
      <c r="D4" s="27">
        <f>COUNTIF('Facturas emitidas'!I2:I15, 0.00)</f>
        <v/>
      </c>
    </row>
    <row r="9">
      <c r="A9" s="23" t="inlineStr">
        <is>
          <t>Total IVA Repercutido</t>
        </is>
      </c>
      <c r="B9" s="25">
        <f>SUM(B2:B4)</f>
        <v/>
      </c>
      <c r="C9" s="25">
        <f>SUM(C2:C4)</f>
        <v/>
      </c>
      <c r="D9" s="28">
        <f>SUM(D2:D4)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5" customWidth="1" min="4" max="4"/>
  </cols>
  <sheetData>
    <row r="1">
      <c r="A1" s="16" t="inlineStr">
        <is>
          <t>Tipo de IVA</t>
        </is>
      </c>
      <c r="B1" s="16" t="inlineStr">
        <is>
          <t>Base Imponible</t>
        </is>
      </c>
      <c r="C1" s="16" t="inlineStr">
        <is>
          <t>Cuota de IVA</t>
        </is>
      </c>
      <c r="D1" s="16" t="inlineStr">
        <is>
          <t>Nº Facturas</t>
        </is>
      </c>
    </row>
    <row r="2">
      <c r="A2" s="19" t="inlineStr">
        <is>
          <t>IVA General (21%)</t>
        </is>
      </c>
      <c r="B2" s="20" t="n">
        <v>0</v>
      </c>
      <c r="C2" s="20" t="n">
        <v>0</v>
      </c>
      <c r="D2" s="27" t="n">
        <v>0</v>
      </c>
    </row>
    <row r="5">
      <c r="A5" s="23" t="inlineStr">
        <is>
          <t>Total IVA Soportado</t>
        </is>
      </c>
      <c r="B5" s="25">
        <f>SUM(B2:B4)</f>
        <v/>
      </c>
      <c r="C5" s="25">
        <f>SUM(C2:C4)</f>
        <v/>
      </c>
      <c r="D5" s="28">
        <f>SUM(D2:D4)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5" customWidth="1" min="2" max="2"/>
  </cols>
  <sheetData>
    <row r="1">
      <c r="A1" s="1" t="inlineStr">
        <is>
          <t>CÁLCULO LIQUIDACIÓN MODELO 303 - IVA 2T 2026</t>
        </is>
      </c>
    </row>
    <row r="3">
      <c r="A3" s="5" t="inlineStr">
        <is>
          <t>Sección / Casilla Modelo 303</t>
        </is>
      </c>
      <c r="B3" s="6" t="inlineStr">
        <is>
          <t>Importe</t>
        </is>
      </c>
    </row>
    <row r="4">
      <c r="A4" s="3" t="inlineStr">
        <is>
          <t>[Casilla 01] Base imponible Gravada al tipo general (21%)</t>
        </is>
      </c>
      <c r="B4" s="9">
        <f>'IVA repercutido por tipos'!B2</f>
        <v/>
      </c>
    </row>
    <row r="5">
      <c r="A5" s="3" t="inlineStr">
        <is>
          <t>[Casilla 03] Cuota devengada al tipo general (21%)</t>
        </is>
      </c>
      <c r="B5" s="9">
        <f>'IVA repercutido por tipos'!C2</f>
        <v/>
      </c>
    </row>
    <row r="6">
      <c r="A6" s="3" t="inlineStr">
        <is>
          <t>[Casilla 04] Base imponible Gravada al tipo reducido (10%)</t>
        </is>
      </c>
      <c r="B6" s="9">
        <f>'IVA repercutido por tipos'!B3</f>
        <v/>
      </c>
    </row>
    <row r="7">
      <c r="A7" s="3" t="inlineStr">
        <is>
          <t>[Casilla 06] Cuota devengada al tipo reducido (10%)</t>
        </is>
      </c>
      <c r="B7" s="9">
        <f>'IVA repercutido por tipos'!C3</f>
        <v/>
      </c>
    </row>
    <row r="8">
      <c r="A8" s="7" t="inlineStr">
        <is>
          <t>[Casilla 27] TOTAL IVA DEVENGO (Cuotas Repercutidas)</t>
        </is>
      </c>
      <c r="B8" s="8">
        <f>B5+B7</f>
        <v/>
      </c>
    </row>
    <row r="9">
      <c r="A9" s="3" t="inlineStr">
        <is>
          <t>[Casilla 28] Base imponible por adquisiciones interiores de bienes corrientes</t>
        </is>
      </c>
      <c r="B9" s="9" t="n">
        <v>0</v>
      </c>
    </row>
    <row r="10">
      <c r="A10" s="3" t="inlineStr">
        <is>
          <t>[Casilla 29] Cuota deducible por adquisiciones interiores de bienes corrientes</t>
        </is>
      </c>
      <c r="B10" s="9" t="n">
        <v>0</v>
      </c>
    </row>
    <row r="11">
      <c r="A11" s="3" t="inlineStr">
        <is>
          <t>[Casilla 30] Base imponible por adquisiciones interiores de bienes de inversión</t>
        </is>
      </c>
      <c r="B11" s="9" t="n">
        <v>0</v>
      </c>
    </row>
    <row r="12">
      <c r="A12" s="3" t="inlineStr">
        <is>
          <t>[Casilla 31] Cuota deducible por adquisiciones interiores de bienes de inversión</t>
        </is>
      </c>
      <c r="B12" s="9" t="n">
        <v>0</v>
      </c>
    </row>
    <row r="13">
      <c r="A13" s="7" t="inlineStr">
        <is>
          <t>[Casilla 45] TOTAL IVA DEDUCIBLE</t>
        </is>
      </c>
      <c r="B13" s="8">
        <f>B10+B12</f>
        <v/>
      </c>
    </row>
    <row r="14">
      <c r="A14" s="7" t="inlineStr">
        <is>
          <t>[Casilla 46] RESULTADO RÉGIMEN GENERAL (IVA Devengado - IVA Deducible)</t>
        </is>
      </c>
      <c r="B14" s="8">
        <f>B8-B13</f>
        <v/>
      </c>
    </row>
    <row r="15">
      <c r="A15" s="3" t="inlineStr">
        <is>
          <t>[Casilla 110] Cuotas a compensar de periodos anteriores (1T 2026)</t>
        </is>
      </c>
      <c r="B15" s="9" t="n">
        <v>0</v>
      </c>
    </row>
    <row r="16">
      <c r="A16" s="3" t="inlineStr">
        <is>
          <t>[Casilla 120] Operaciones intracomunitarias (no sujetas en destino / Modelo 349)</t>
        </is>
      </c>
      <c r="B16" s="9">
        <f>'IVA repercutido por tipos'!B4</f>
        <v/>
      </c>
    </row>
    <row r="17">
      <c r="A17" s="29" t="inlineStr">
        <is>
          <t>[Casilla 71] RESULTADO DE LA LIQUIDACIÓN (A ingresar, compensar o devolver)</t>
        </is>
      </c>
      <c r="B17" s="10">
        <f>B14-B15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5" customWidth="1" min="2" max="2"/>
  </cols>
  <sheetData>
    <row r="1">
      <c r="A1" s="1" t="inlineStr">
        <is>
          <t>CÁLCULO PAGO FRACCIONADO MODELO 130 - IRPF 2T 2026</t>
        </is>
      </c>
    </row>
    <row r="4">
      <c r="A4" s="3" t="inlineStr">
        <is>
          <t>[Casilla 01] Ingresos computables acumulados del ejercicio</t>
        </is>
      </c>
      <c r="B4" s="9">
        <f>'Libro de ingresos'!G16</f>
        <v/>
      </c>
    </row>
    <row r="5">
      <c r="A5" s="3" t="inlineStr">
        <is>
          <t>[Casilla 02] Gastos fiscalmente deducibles acumulados</t>
        </is>
      </c>
      <c r="B5" s="9">
        <f>'Libro de gastos'!H5</f>
        <v/>
      </c>
    </row>
    <row r="6">
      <c r="A6" s="7" t="inlineStr">
        <is>
          <t>[Casilla 03] Rendimiento neto acumulado del ejercicio</t>
        </is>
      </c>
      <c r="B6" s="8">
        <f>B4-B5</f>
        <v/>
      </c>
    </row>
    <row r="7">
      <c r="A7" s="3" t="inlineStr">
        <is>
          <t>[Casilla 04] Pago fraccionado (20% del rendimiento neto si positivo)</t>
        </is>
      </c>
      <c r="B7" s="9">
        <f>IF(B6&gt;0, ROUND(B6*0.2, 2), 0)</f>
        <v/>
      </c>
    </row>
    <row r="8">
      <c r="A8" s="3" t="inlineStr">
        <is>
          <t>[Casilla 05] Retenciones soportadas acumuladas del ejercicio</t>
        </is>
      </c>
      <c r="B8" s="9">
        <f>'Retenciones'!I8</f>
        <v/>
      </c>
    </row>
    <row r="9">
      <c r="A9" s="3" t="inlineStr">
        <is>
          <t>[Casilla 06] Pagos fraccionados ingresados por trimestres anteriores</t>
        </is>
      </c>
      <c r="B9" s="9" t="n">
        <v>0</v>
      </c>
    </row>
    <row r="10">
      <c r="A10" s="3" t="inlineStr">
        <is>
          <t>[Casilla 07] Deducción por gastos de difícil justificación / minoraciones</t>
        </is>
      </c>
      <c r="B10" s="9" t="n">
        <v>0</v>
      </c>
    </row>
    <row r="11">
      <c r="A11" s="29" t="inlineStr">
        <is>
          <t>[Casilla 19] RESULTADO A INGRESAR O COMPENSAR EN EL TRIMESTRE</t>
        </is>
      </c>
      <c r="B11" s="10">
        <f>IF(B7-B8-B9-B10&gt;0, B7-B8-B9-B10, 0)</f>
        <v/>
      </c>
    </row>
    <row r="13">
      <c r="A13" s="15" t="inlineStr">
        <is>
          <t>Nota explicativa: El Modelo 130 se calcula sobre el 20% del rendimiento neto acumulado (Ingresos - Gastos).</t>
        </is>
      </c>
    </row>
    <row r="14">
      <c r="A14" s="15" t="inlineStr">
        <is>
          <t>Para el 2T 2026, dado que no disponemos de datos históricos del 1T, los importes acumulados son equivalentes a los del 2T.</t>
        </is>
      </c>
    </row>
    <row r="15">
      <c r="A15" s="15" t="inlineStr">
        <is>
          <t>Las retenciones soportadas (277.20 €) superan el 20% del rendimiento (0.2 * 18771.00 = 3754.20 €? No! 20% is 3754.20, minus retenciones 277.20 = 3477.00 € a ingresar).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22" customWidth="1" min="4" max="4"/>
    <col width="52" customWidth="1" min="5" max="5"/>
    <col width="31" customWidth="1" min="6" max="6"/>
    <col width="28" customWidth="1" min="7" max="7"/>
    <col width="33" customWidth="1" min="8" max="8"/>
    <col width="22" customWidth="1" min="9" max="9"/>
    <col width="23" customWidth="1" min="10" max="10"/>
    <col width="26" customWidth="1" min="11" max="11"/>
    <col width="19" customWidth="1" min="12" max="12"/>
  </cols>
  <sheetData>
    <row r="1">
      <c r="A1" s="1" t="inlineStr">
        <is>
          <t>CONTROL ACUMULATIVO ANUAL DEL EJERCICIO 2026</t>
        </is>
      </c>
    </row>
    <row r="2">
      <c r="A2" s="16" t="inlineStr">
        <is>
          <t>Ejercicio</t>
        </is>
      </c>
      <c r="B2" s="16" t="inlineStr">
        <is>
          <t>Trimestre</t>
        </is>
      </c>
      <c r="C2" s="16" t="inlineStr">
        <is>
          <t>Periodo Fiscal</t>
        </is>
      </c>
      <c r="D2" s="16" t="inlineStr">
        <is>
          <t>Modelo Relacionado</t>
        </is>
      </c>
      <c r="E2" s="16" t="inlineStr">
        <is>
          <t>Base / Ingreso Declarado</t>
        </is>
      </c>
      <c r="F2" s="16" t="inlineStr">
        <is>
          <t>IVA Repercutido / Soportado</t>
        </is>
      </c>
      <c r="G2" s="16" t="inlineStr">
        <is>
          <t>Retenciones Soportadas</t>
        </is>
      </c>
      <c r="H2" s="16" t="inlineStr">
        <is>
          <t>Importe Declarado (Resultado)</t>
        </is>
      </c>
      <c r="I2" s="16" t="inlineStr">
        <is>
          <t>Fecha Presentación</t>
        </is>
      </c>
      <c r="J2" s="16" t="inlineStr">
        <is>
          <t>Estado Presentación</t>
        </is>
      </c>
      <c r="K2" s="16" t="inlineStr">
        <is>
          <t>NRC / Justificante</t>
        </is>
      </c>
      <c r="L2" s="16" t="inlineStr">
        <is>
          <t>Estado Revisión</t>
        </is>
      </c>
    </row>
    <row r="3">
      <c r="A3" s="17" t="n">
        <v>2026</v>
      </c>
      <c r="B3" s="17" t="inlineStr">
        <is>
          <t>1T</t>
        </is>
      </c>
      <c r="C3" s="19" t="inlineStr">
        <is>
          <t>01/01/2026 - 31/03/2026</t>
        </is>
      </c>
      <c r="D3" s="19" t="inlineStr">
        <is>
          <t>Modelo 303 / 130</t>
        </is>
      </c>
      <c r="E3" s="20" t="n">
        <v>0</v>
      </c>
      <c r="F3" s="20" t="n">
        <v>0</v>
      </c>
      <c r="G3" s="20" t="n">
        <v>0</v>
      </c>
      <c r="H3" s="20" t="n">
        <v>0</v>
      </c>
      <c r="I3" s="17" t="inlineStr">
        <is>
          <t>20/04/2026</t>
        </is>
      </c>
      <c r="J3" s="17" t="inlineStr">
        <is>
          <t>Presentado</t>
        </is>
      </c>
      <c r="K3" s="17" t="inlineStr">
        <is>
          <t>Pendiente de confirmar</t>
        </is>
      </c>
      <c r="L3" s="17" t="inlineStr">
        <is>
          <t>Revisado</t>
        </is>
      </c>
    </row>
    <row r="4">
      <c r="A4" s="17" t="n">
        <v>2026</v>
      </c>
      <c r="B4" s="17" t="inlineStr">
        <is>
          <t>2T</t>
        </is>
      </c>
      <c r="C4" s="19" t="inlineStr">
        <is>
          <t>01/04/2026 - 30/06/2026</t>
        </is>
      </c>
      <c r="D4" s="19" t="inlineStr">
        <is>
          <t>Modelo 303</t>
        </is>
      </c>
      <c r="E4" s="30">
        <f>'Cálculo modelo 303'!B4+'Cálculo modelo 303'!B6</f>
        <v/>
      </c>
      <c r="F4" s="30">
        <f>'Cálculo modelo 303'!B8</f>
        <v/>
      </c>
      <c r="G4" s="20" t="n">
        <v>0</v>
      </c>
      <c r="H4" s="30">
        <f>'Cálculo modelo 303'!B17</f>
        <v/>
      </c>
      <c r="I4" s="17" t="inlineStr">
        <is>
          <t>20/07/2026</t>
        </is>
      </c>
      <c r="J4" s="17" t="inlineStr">
        <is>
          <t>Pendiente</t>
        </is>
      </c>
      <c r="K4" s="17" t="inlineStr">
        <is>
          <t>Pendiente de confirmar</t>
        </is>
      </c>
      <c r="L4" s="17" t="inlineStr">
        <is>
          <t>Comprobado</t>
        </is>
      </c>
    </row>
    <row r="5">
      <c r="A5" s="17" t="n">
        <v>2026</v>
      </c>
      <c r="B5" s="17" t="inlineStr">
        <is>
          <t>2T</t>
        </is>
      </c>
      <c r="C5" s="19" t="inlineStr">
        <is>
          <t>01/04/2026 - 30/06/2026</t>
        </is>
      </c>
      <c r="D5" s="19" t="inlineStr">
        <is>
          <t>Modelo 130</t>
        </is>
      </c>
      <c r="E5" s="30">
        <f>'Cálculo modelo 130'!B4</f>
        <v/>
      </c>
      <c r="F5" s="20" t="n">
        <v>0</v>
      </c>
      <c r="G5" s="30">
        <f>'Cálculo modelo 130'!B8</f>
        <v/>
      </c>
      <c r="H5" s="30">
        <f>'Cálculo modelo 130'!B11</f>
        <v/>
      </c>
      <c r="I5" s="17" t="inlineStr">
        <is>
          <t>20/07/2026</t>
        </is>
      </c>
      <c r="J5" s="17" t="inlineStr">
        <is>
          <t>Pendiente</t>
        </is>
      </c>
      <c r="K5" s="17" t="inlineStr">
        <is>
          <t>Pendiente de confirmar</t>
        </is>
      </c>
      <c r="L5" s="17" t="inlineStr">
        <is>
          <t>Comprobado</t>
        </is>
      </c>
    </row>
    <row r="6">
      <c r="A6" s="17" t="n">
        <v>2026</v>
      </c>
      <c r="B6" s="17" t="inlineStr">
        <is>
          <t>2T</t>
        </is>
      </c>
      <c r="C6" s="19" t="inlineStr">
        <is>
          <t>01/04/2026 - 30/06/2026</t>
        </is>
      </c>
      <c r="D6" s="19" t="inlineStr">
        <is>
          <t>Modelo 349</t>
        </is>
      </c>
      <c r="E6" s="30">
        <f>'Cálculo modelo 303'!B16</f>
        <v/>
      </c>
      <c r="F6" s="20" t="n">
        <v>0</v>
      </c>
      <c r="G6" s="20" t="n">
        <v>0</v>
      </c>
      <c r="H6" s="20" t="n">
        <v>0</v>
      </c>
      <c r="I6" s="17" t="inlineStr">
        <is>
          <t>20/07/2026</t>
        </is>
      </c>
      <c r="J6" s="17" t="inlineStr">
        <is>
          <t>Pendiente</t>
        </is>
      </c>
      <c r="K6" s="17" t="inlineStr">
        <is>
          <t>No procede</t>
        </is>
      </c>
      <c r="L6" s="17" t="inlineStr">
        <is>
          <t>Comprobado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8" customWidth="1" min="2" max="2"/>
    <col width="12" customWidth="1" min="3" max="3"/>
    <col width="71" customWidth="1" min="4" max="4"/>
    <col width="71" customWidth="1" min="5" max="5"/>
    <col width="71" customWidth="1" min="6" max="6"/>
    <col width="71" customWidth="1" min="7" max="7"/>
    <col width="38" customWidth="1" min="8" max="8"/>
  </cols>
  <sheetData>
    <row r="1">
      <c r="A1" s="1" t="inlineStr">
        <is>
          <t>RESUMEN DE OPERACIONES POR TERCEROS (CLIENTES) - 2T 2026</t>
        </is>
      </c>
    </row>
    <row r="2">
      <c r="A2" s="16" t="inlineStr">
        <is>
          <t>Cliente</t>
        </is>
      </c>
      <c r="B2" s="16" t="inlineStr">
        <is>
          <t>NIF</t>
        </is>
      </c>
      <c r="C2" s="16" t="inlineStr">
        <is>
          <t>País</t>
        </is>
      </c>
      <c r="D2" s="16" t="inlineStr">
        <is>
          <t>Base Imponible Total</t>
        </is>
      </c>
      <c r="E2" s="16" t="inlineStr">
        <is>
          <t>IVA Repercutido Total</t>
        </is>
      </c>
      <c r="F2" s="16" t="inlineStr">
        <is>
          <t>Retención Sufrida Total</t>
        </is>
      </c>
      <c r="G2" s="16" t="inlineStr">
        <is>
          <t>Total Facturado</t>
        </is>
      </c>
      <c r="H2" s="16" t="inlineStr">
        <is>
          <t>Operación Intracomunitaria (Sí/No)</t>
        </is>
      </c>
    </row>
    <row r="3">
      <c r="A3" s="19" t="inlineStr">
        <is>
          <t>FUNDACIÓN SALAMANCA CIUDAD DE CULTURA Y SABERES</t>
        </is>
      </c>
      <c r="B3" s="17" t="inlineStr">
        <is>
          <t>G-37404571</t>
        </is>
      </c>
      <c r="C3" s="17" t="inlineStr">
        <is>
          <t>España</t>
        </is>
      </c>
      <c r="D3" s="20">
        <f>SUMIF('Facturas emitidas'!F2:F15, B3, 'Facturas emitidas'!H2:H15)</f>
        <v/>
      </c>
      <c r="E3" s="20">
        <f>SUMIF('Facturas emitidas'!F2:F15, B3, 'Facturas emitidas'!J2:J15)</f>
        <v/>
      </c>
      <c r="F3" s="20">
        <f>SUMIF('Facturas emitidas'!F2:F15, B3, 'Facturas emitidas'!M2:M15)</f>
        <v/>
      </c>
      <c r="G3" s="20">
        <f>SUMIF('Facturas emitidas'!F2:F15, B3, 'Facturas emitidas'!N2:N15)</f>
        <v/>
      </c>
      <c r="H3" s="17" t="inlineStr">
        <is>
          <t>No</t>
        </is>
      </c>
    </row>
    <row r="4">
      <c r="A4" s="19" t="inlineStr">
        <is>
          <t>Hinves Pianos S.L.</t>
        </is>
      </c>
      <c r="B4" s="17" t="inlineStr">
        <is>
          <t>B18651901</t>
        </is>
      </c>
      <c r="C4" s="17" t="inlineStr">
        <is>
          <t>España</t>
        </is>
      </c>
      <c r="D4" s="20">
        <f>SUMIF('Facturas emitidas'!F2:F15, B4, 'Facturas emitidas'!H2:H15)</f>
        <v/>
      </c>
      <c r="E4" s="20">
        <f>SUMIF('Facturas emitidas'!F2:F15, B4, 'Facturas emitidas'!J2:J15)</f>
        <v/>
      </c>
      <c r="F4" s="20">
        <f>SUMIF('Facturas emitidas'!F2:F15, B4, 'Facturas emitidas'!M2:M15)</f>
        <v/>
      </c>
      <c r="G4" s="20">
        <f>SUMIF('Facturas emitidas'!F2:F15, B4, 'Facturas emitidas'!N2:N15)</f>
        <v/>
      </c>
      <c r="H4" s="17" t="inlineStr">
        <is>
          <t>No</t>
        </is>
      </c>
    </row>
    <row r="5">
      <c r="A5" s="19" t="inlineStr">
        <is>
          <t>PIANOS MAENE N.V.</t>
        </is>
      </c>
      <c r="B5" s="17" t="inlineStr">
        <is>
          <t>BE0440.262.115</t>
        </is>
      </c>
      <c r="C5" s="17" t="inlineStr">
        <is>
          <t>Bélgica</t>
        </is>
      </c>
      <c r="D5" s="20">
        <f>SUMIF('Facturas emitidas'!F2:F15, B5, 'Facturas emitidas'!H2:H15)</f>
        <v/>
      </c>
      <c r="E5" s="20">
        <f>SUMIF('Facturas emitidas'!F2:F15, B5, 'Facturas emitidas'!J2:J15)</f>
        <v/>
      </c>
      <c r="F5" s="20">
        <f>SUMIF('Facturas emitidas'!F2:F15, B5, 'Facturas emitidas'!M2:M15)</f>
        <v/>
      </c>
      <c r="G5" s="20">
        <f>SUMIF('Facturas emitidas'!F2:F15, B5, 'Facturas emitidas'!N2:N15)</f>
        <v/>
      </c>
      <c r="H5" s="17" t="inlineStr">
        <is>
          <t>Sí</t>
        </is>
      </c>
    </row>
    <row r="6">
      <c r="A6" s="19" t="inlineStr">
        <is>
          <t>QUEEN’S PIANO SPRL</t>
        </is>
      </c>
      <c r="B6" s="17" t="inlineStr">
        <is>
          <t>BE1008.794.060</t>
        </is>
      </c>
      <c r="C6" s="17" t="inlineStr">
        <is>
          <t>Bélgica</t>
        </is>
      </c>
      <c r="D6" s="20">
        <f>SUMIF('Facturas emitidas'!F2:F15, B6, 'Facturas emitidas'!H2:H15)</f>
        <v/>
      </c>
      <c r="E6" s="20">
        <f>SUMIF('Facturas emitidas'!F2:F15, B6, 'Facturas emitidas'!J2:J15)</f>
        <v/>
      </c>
      <c r="F6" s="20">
        <f>SUMIF('Facturas emitidas'!F2:F15, B6, 'Facturas emitidas'!M2:M15)</f>
        <v/>
      </c>
      <c r="G6" s="20">
        <f>SUMIF('Facturas emitidas'!F2:F15, B6, 'Facturas emitidas'!N2:N15)</f>
        <v/>
      </c>
      <c r="H6" s="17" t="inlineStr">
        <is>
          <t>Sí</t>
        </is>
      </c>
    </row>
    <row r="7">
      <c r="A7" s="19" t="inlineStr">
        <is>
          <t>Universidad Pontificia de Salamanca</t>
        </is>
      </c>
      <c r="B7" s="17" t="inlineStr">
        <is>
          <t>R3700047H</t>
        </is>
      </c>
      <c r="C7" s="17" t="inlineStr">
        <is>
          <t>España</t>
        </is>
      </c>
      <c r="D7" s="20">
        <f>SUMIF('Facturas emitidas'!F2:F15, B7, 'Facturas emitidas'!H2:H15)</f>
        <v/>
      </c>
      <c r="E7" s="20">
        <f>SUMIF('Facturas emitidas'!F2:F15, B7, 'Facturas emitidas'!J2:J15)</f>
        <v/>
      </c>
      <c r="F7" s="20">
        <f>SUMIF('Facturas emitidas'!F2:F15, B7, 'Facturas emitidas'!M2:M15)</f>
        <v/>
      </c>
      <c r="G7" s="20">
        <f>SUMIF('Facturas emitidas'!F2:F15, B7, 'Facturas emitidas'!N2:N15)</f>
        <v/>
      </c>
      <c r="H7" s="17" t="inlineStr">
        <is>
          <t>No</t>
        </is>
      </c>
    </row>
    <row r="8">
      <c r="A8" s="19" t="inlineStr">
        <is>
          <t>EXPOSICIONES Y CONGRESOS ADAJA S.A.U.</t>
        </is>
      </c>
      <c r="B8" s="17" t="inlineStr">
        <is>
          <t>A-05204458</t>
        </is>
      </c>
      <c r="C8" s="17" t="inlineStr">
        <is>
          <t>España</t>
        </is>
      </c>
      <c r="D8" s="20">
        <f>SUMIF('Facturas emitidas'!F2:F15, B8, 'Facturas emitidas'!H2:H15)</f>
        <v/>
      </c>
      <c r="E8" s="20">
        <f>SUMIF('Facturas emitidas'!F2:F15, B8, 'Facturas emitidas'!J2:J15)</f>
        <v/>
      </c>
      <c r="F8" s="20">
        <f>SUMIF('Facturas emitidas'!F2:F15, B8, 'Facturas emitidas'!M2:M15)</f>
        <v/>
      </c>
      <c r="G8" s="20">
        <f>SUMIF('Facturas emitidas'!F2:F15, B8, 'Facturas emitidas'!N2:N15)</f>
        <v/>
      </c>
      <c r="H8" s="17" t="inlineStr">
        <is>
          <t>No</t>
        </is>
      </c>
    </row>
    <row r="9">
      <c r="A9" s="19" t="inlineStr">
        <is>
          <t>SIRINX S.L.</t>
        </is>
      </c>
      <c r="B9" s="17" t="inlineStr">
        <is>
          <t>B-37034584</t>
        </is>
      </c>
      <c r="C9" s="17" t="inlineStr">
        <is>
          <t>España</t>
        </is>
      </c>
      <c r="D9" s="20">
        <f>SUMIF('Facturas emitidas'!F2:F15, B9, 'Facturas emitidas'!H2:H15)</f>
        <v/>
      </c>
      <c r="E9" s="20">
        <f>SUMIF('Facturas emitidas'!F2:F15, B9, 'Facturas emitidas'!J2:J15)</f>
        <v/>
      </c>
      <c r="F9" s="20">
        <f>SUMIF('Facturas emitidas'!F2:F15, B9, 'Facturas emitidas'!M2:M15)</f>
        <v/>
      </c>
      <c r="G9" s="20">
        <f>SUMIF('Facturas emitidas'!F2:F15, B9, 'Facturas emitidas'!N2:N15)</f>
        <v/>
      </c>
      <c r="H9" s="17" t="inlineStr">
        <is>
          <t>No</t>
        </is>
      </c>
    </row>
    <row r="10">
      <c r="A10" s="19" t="inlineStr">
        <is>
          <t>Monica Logani</t>
        </is>
      </c>
      <c r="B10" s="17" t="inlineStr">
        <is>
          <t>Y4848667M</t>
        </is>
      </c>
      <c r="C10" s="17" t="inlineStr">
        <is>
          <t>España</t>
        </is>
      </c>
      <c r="D10" s="20">
        <f>SUMIF('Facturas emitidas'!F2:F15, B10, 'Facturas emitidas'!H2:H15)</f>
        <v/>
      </c>
      <c r="E10" s="20">
        <f>SUMIF('Facturas emitidas'!F2:F15, B10, 'Facturas emitidas'!J2:J15)</f>
        <v/>
      </c>
      <c r="F10" s="20">
        <f>SUMIF('Facturas emitidas'!F2:F15, B10, 'Facturas emitidas'!M2:M15)</f>
        <v/>
      </c>
      <c r="G10" s="20">
        <f>SUMIF('Facturas emitidas'!F2:F15, B10, 'Facturas emitidas'!N2:N15)</f>
        <v/>
      </c>
      <c r="H10" s="17" t="inlineStr">
        <is>
          <t>No</t>
        </is>
      </c>
    </row>
    <row r="11">
      <c r="A11" s="19" t="inlineStr">
        <is>
          <t>Marina Elias Malarka</t>
        </is>
      </c>
      <c r="B11" s="17" t="inlineStr">
        <is>
          <t>70965658D</t>
        </is>
      </c>
      <c r="C11" s="17" t="inlineStr">
        <is>
          <t>España</t>
        </is>
      </c>
      <c r="D11" s="20">
        <f>SUMIF('Facturas emitidas'!F2:F15, B11, 'Facturas emitidas'!H2:H15)</f>
        <v/>
      </c>
      <c r="E11" s="20">
        <f>SUMIF('Facturas emitidas'!F2:F15, B11, 'Facturas emitidas'!J2:J15)</f>
        <v/>
      </c>
      <c r="F11" s="20">
        <f>SUMIF('Facturas emitidas'!F2:F15, B11, 'Facturas emitidas'!M2:M15)</f>
        <v/>
      </c>
      <c r="G11" s="20">
        <f>SUMIF('Facturas emitidas'!F2:F15, B11, 'Facturas emitidas'!N2:N15)</f>
        <v/>
      </c>
      <c r="H11" s="17" t="inlineStr">
        <is>
          <t>No</t>
        </is>
      </c>
    </row>
    <row r="12">
      <c r="A12" s="19" t="inlineStr">
        <is>
          <t>Jesús Raúl Sanchez-Carvallo Martín</t>
        </is>
      </c>
      <c r="B12" s="17" t="inlineStr">
        <is>
          <t>07847971A</t>
        </is>
      </c>
      <c r="C12" s="17" t="inlineStr">
        <is>
          <t>España</t>
        </is>
      </c>
      <c r="D12" s="20">
        <f>SUMIF('Facturas emitidas'!F2:F15, B12, 'Facturas emitidas'!H2:H15)</f>
        <v/>
      </c>
      <c r="E12" s="20">
        <f>SUMIF('Facturas emitidas'!F2:F15, B12, 'Facturas emitidas'!J2:J15)</f>
        <v/>
      </c>
      <c r="F12" s="20">
        <f>SUMIF('Facturas emitidas'!F2:F15, B12, 'Facturas emitidas'!M2:M15)</f>
        <v/>
      </c>
      <c r="G12" s="20">
        <f>SUMIF('Facturas emitidas'!F2:F15, B12, 'Facturas emitidas'!N2:N15)</f>
        <v/>
      </c>
      <c r="H12" s="17" t="inlineStr">
        <is>
          <t>No</t>
        </is>
      </c>
    </row>
    <row r="13">
      <c r="A13" s="23" t="inlineStr">
        <is>
          <t>Total General</t>
        </is>
      </c>
      <c r="B13" s="24" t="n"/>
      <c r="C13" s="24" t="n"/>
      <c r="D13" s="25">
        <f>SUM(D3:D12)</f>
        <v/>
      </c>
      <c r="E13" s="25">
        <f>SUM(E3:E12)</f>
        <v/>
      </c>
      <c r="F13" s="25">
        <f>SUM(F3:F12)</f>
        <v/>
      </c>
      <c r="G13" s="25">
        <f>SUM(G3:G12)</f>
        <v/>
      </c>
      <c r="H13" s="2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273" customWidth="1" min="1" max="1"/>
    <col width="18" customWidth="1" min="2" max="2"/>
    <col width="71" customWidth="1" min="3" max="3"/>
    <col width="71" customWidth="1" min="4" max="4"/>
    <col width="37" customWidth="1" min="5" max="5"/>
    <col width="30" customWidth="1" min="6" max="6"/>
    <col width="39" customWidth="1" min="7" max="7"/>
    <col width="89" customWidth="1" min="8" max="8"/>
  </cols>
  <sheetData>
    <row r="1">
      <c r="A1" s="1" t="inlineStr">
        <is>
          <t>DECLARACIÓN ANUAL DE OPERACIONES CON TERCERAS PERSONAS (MODELO 347)</t>
        </is>
      </c>
    </row>
    <row r="2"/>
    <row r="3">
      <c r="A3" s="15" t="inlineStr">
        <is>
          <t>Criterio de Inclusión: Se declaran en el Modelo 347 aquellas operaciones con un mismo cliente o proveedor que superen los 3.005,06 € en el total anual acumulado. Nota: Las operaciones intracomunitarias que ya se declaran en el Modelo 349 están excluidas del Modelo 347.</t>
        </is>
      </c>
    </row>
    <row r="4">
      <c r="A4" t="inlineStr">
        <is>
          <t>Cliente / Tercero</t>
        </is>
      </c>
      <c r="B4" t="inlineStr">
        <is>
          <t>NIF</t>
        </is>
      </c>
      <c r="C4" t="inlineStr">
        <is>
          <t>Base 2T 2026</t>
        </is>
      </c>
      <c r="D4" t="inlineStr">
        <is>
          <t>Total Facturado 2T 2026</t>
        </is>
      </c>
      <c r="E4" t="inlineStr">
        <is>
          <t>Operación Intracomunitaria (M349)</t>
        </is>
      </c>
      <c r="F4" t="inlineStr">
        <is>
          <t>Supera Límite (3.005,06 €)</t>
        </is>
      </c>
      <c r="G4" t="inlineStr">
        <is>
          <t>Declarable en M347 (Sí/No/Excluido)</t>
        </is>
      </c>
      <c r="H4" t="inlineStr">
        <is>
          <t>Observaciones</t>
        </is>
      </c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</row>
    <row r="6">
      <c r="A6" s="19" t="inlineStr">
        <is>
          <t>PIANOS MAENE N.V.</t>
        </is>
      </c>
      <c r="B6" s="17" t="inlineStr">
        <is>
          <t>BE0440.262.115</t>
        </is>
      </c>
      <c r="C6" s="20">
        <f>SUMIF('Facturas emitidas'!F2:F15, B6, 'Facturas emitidas'!H2:H15)</f>
        <v/>
      </c>
      <c r="D6" s="20">
        <f>SUMIF('Facturas emitidas'!F2:F15, B6, 'Facturas emitidas'!N2:N15)</f>
        <v/>
      </c>
      <c r="E6" s="17" t="inlineStr">
        <is>
          <t>Sí</t>
        </is>
      </c>
      <c r="F6" s="17" t="inlineStr">
        <is>
          <t>Sí</t>
        </is>
      </c>
      <c r="G6" s="17" t="inlineStr">
        <is>
          <t>Excluido</t>
        </is>
      </c>
      <c r="H6" s="19" t="inlineStr">
        <is>
          <t>Ya se declara en el Modelo 349 (operaciones intracomunitarias).</t>
        </is>
      </c>
    </row>
    <row r="7">
      <c r="A7" s="19" t="inlineStr">
        <is>
          <t>QUEEN’S PIANO SPRL</t>
        </is>
      </c>
      <c r="B7" s="17" t="inlineStr">
        <is>
          <t>BE1008.794.060</t>
        </is>
      </c>
      <c r="C7" s="20">
        <f>SUMIF('Facturas emitidas'!F2:F15, B7, 'Facturas emitidas'!H2:H15)</f>
        <v/>
      </c>
      <c r="D7" s="20">
        <f>SUMIF('Facturas emitidas'!F2:F15, B7, 'Facturas emitidas'!N2:N15)</f>
        <v/>
      </c>
      <c r="E7" s="17" t="inlineStr">
        <is>
          <t>Sí</t>
        </is>
      </c>
      <c r="F7" s="17" t="inlineStr">
        <is>
          <t>Sí</t>
        </is>
      </c>
      <c r="G7" s="17" t="inlineStr">
        <is>
          <t>Excluido</t>
        </is>
      </c>
      <c r="H7" s="19" t="inlineStr">
        <is>
          <t>Ya se declara en el Modelo 349 (operaciones intracomunitarias).</t>
        </is>
      </c>
    </row>
    <row r="8">
      <c r="A8" s="19" t="inlineStr">
        <is>
          <t>Jesús Raúl Sanchez-Carvallo Martín</t>
        </is>
      </c>
      <c r="B8" s="17" t="inlineStr">
        <is>
          <t>07847971A</t>
        </is>
      </c>
      <c r="C8" s="20">
        <f>SUMIF('Facturas emitidas'!F2:F15, B8, 'Facturas emitidas'!H2:H15)</f>
        <v/>
      </c>
      <c r="D8" s="20">
        <f>SUMIF('Facturas emitidas'!F2:F15, B8, 'Facturas emitidas'!N2:N15)</f>
        <v/>
      </c>
      <c r="E8" s="17" t="inlineStr">
        <is>
          <t>No</t>
        </is>
      </c>
      <c r="F8" s="17" t="inlineStr">
        <is>
          <t>Sí</t>
        </is>
      </c>
      <c r="G8" s="17" t="inlineStr">
        <is>
          <t>Sí</t>
        </is>
      </c>
      <c r="H8" s="19" t="inlineStr">
        <is>
          <t>Total facturado supera los 3.005,06 €.</t>
        </is>
      </c>
    </row>
    <row r="9">
      <c r="A9" s="19" t="inlineStr">
        <is>
          <t>Monica Logani</t>
        </is>
      </c>
      <c r="B9" s="17" t="inlineStr">
        <is>
          <t>Y4848667M</t>
        </is>
      </c>
      <c r="C9" s="20">
        <f>SUMIF('Facturas emitidas'!F2:F15, B9, 'Facturas emitidas'!H2:H15)</f>
        <v/>
      </c>
      <c r="D9" s="20">
        <f>SUMIF('Facturas emitidas'!F2:F15, B9, 'Facturas emitidas'!N2:N15)</f>
        <v/>
      </c>
      <c r="E9" s="17" t="inlineStr">
        <is>
          <t>No</t>
        </is>
      </c>
      <c r="F9" s="17" t="inlineStr">
        <is>
          <t>Sí</t>
        </is>
      </c>
      <c r="G9" s="17" t="inlineStr">
        <is>
          <t>Sí</t>
        </is>
      </c>
      <c r="H9" s="19" t="inlineStr">
        <is>
          <t>Total facturado supera los 3.005,06 €.</t>
        </is>
      </c>
    </row>
    <row r="10">
      <c r="A10" s="19" t="inlineStr">
        <is>
          <t>Hinves Pianos S.L.</t>
        </is>
      </c>
      <c r="B10" s="17" t="inlineStr">
        <is>
          <t>B18651901</t>
        </is>
      </c>
      <c r="C10" s="20">
        <f>SUMIF('Facturas emitidas'!F2:F15, B10, 'Facturas emitidas'!H2:H15)</f>
        <v/>
      </c>
      <c r="D10" s="20">
        <f>SUMIF('Facturas emitidas'!F2:F15, B10, 'Facturas emitidas'!N2:N15)</f>
        <v/>
      </c>
      <c r="E10" s="17" t="inlineStr">
        <is>
          <t>No</t>
        </is>
      </c>
      <c r="F10" s="17" t="inlineStr">
        <is>
          <t>No</t>
        </is>
      </c>
      <c r="G10" s="17" t="inlineStr">
        <is>
          <t>No (Pendiente)</t>
        </is>
      </c>
      <c r="H10" s="19" t="inlineStr">
        <is>
          <t>No supera el límite de 3.005,06 € únicamente con el 2T. Pendiente de acumulado anual.</t>
        </is>
      </c>
    </row>
    <row r="11">
      <c r="A11" s="19" t="inlineStr">
        <is>
          <t>SIRINX S.L.</t>
        </is>
      </c>
      <c r="B11" s="17" t="inlineStr">
        <is>
          <t>B-37034584</t>
        </is>
      </c>
      <c r="C11" s="20">
        <f>SUMIF('Facturas emitidas'!F2:F15, B11, 'Facturas emitidas'!H2:H15)</f>
        <v/>
      </c>
      <c r="D11" s="20">
        <f>SUMIF('Facturas emitidas'!F2:F15, B11, 'Facturas emitidas'!N2:N15)</f>
        <v/>
      </c>
      <c r="E11" s="17" t="inlineStr">
        <is>
          <t>No</t>
        </is>
      </c>
      <c r="F11" s="17" t="inlineStr">
        <is>
          <t>No</t>
        </is>
      </c>
      <c r="G11" s="17" t="inlineStr">
        <is>
          <t>No (Pendiente)</t>
        </is>
      </c>
      <c r="H11" s="19" t="inlineStr">
        <is>
          <t>No supera el límite de 3.005,06 € únicamente con el 2T. Pendiente de acumulado anual.</t>
        </is>
      </c>
    </row>
    <row r="12">
      <c r="A12" s="19" t="inlineStr">
        <is>
          <t>FUNDACIÓN SALAMANCA CIUDAD DE CULTURA Y SABERES</t>
        </is>
      </c>
      <c r="B12" s="17" t="inlineStr">
        <is>
          <t>G-37404571</t>
        </is>
      </c>
      <c r="C12" s="20">
        <f>SUMIF('Facturas emitidas'!F2:F15, B12, 'Facturas emitidas'!H2:H15)</f>
        <v/>
      </c>
      <c r="D12" s="20">
        <f>SUMIF('Facturas emitidas'!F2:F15, B12, 'Facturas emitidas'!N2:N15)</f>
        <v/>
      </c>
      <c r="E12" s="17" t="inlineStr">
        <is>
          <t>No</t>
        </is>
      </c>
      <c r="F12" s="17" t="inlineStr">
        <is>
          <t>No</t>
        </is>
      </c>
      <c r="G12" s="17" t="inlineStr">
        <is>
          <t>No (Pendiente)</t>
        </is>
      </c>
      <c r="H12" s="19" t="inlineStr">
        <is>
          <t>No supera el límite de 3.005,06 € únicamente con el 2T. Pendiente de acumulado anual.</t>
        </is>
      </c>
    </row>
    <row r="13">
      <c r="A13" s="19" t="inlineStr">
        <is>
          <t>EXPOSICIONES Y CONGRESOS ADAJA S.A.U.</t>
        </is>
      </c>
      <c r="B13" s="17" t="inlineStr">
        <is>
          <t>A-05204458</t>
        </is>
      </c>
      <c r="C13" s="20">
        <f>SUMIF('Facturas emitidas'!F2:F15, B13, 'Facturas emitidas'!H2:H15)</f>
        <v/>
      </c>
      <c r="D13" s="20">
        <f>SUMIF('Facturas emitidas'!F2:F15, B13, 'Facturas emitidas'!N2:N15)</f>
        <v/>
      </c>
      <c r="E13" s="17" t="inlineStr">
        <is>
          <t>No</t>
        </is>
      </c>
      <c r="F13" s="17" t="inlineStr">
        <is>
          <t>No</t>
        </is>
      </c>
      <c r="G13" s="17" t="inlineStr">
        <is>
          <t>No (Pendiente)</t>
        </is>
      </c>
      <c r="H13" s="19" t="inlineStr">
        <is>
          <t>No supera el límite de 3.005,06 €.</t>
        </is>
      </c>
    </row>
    <row r="14">
      <c r="A14" s="19" t="inlineStr">
        <is>
          <t>Marina Elias Malarka</t>
        </is>
      </c>
      <c r="B14" s="17" t="inlineStr">
        <is>
          <t>70965658D</t>
        </is>
      </c>
      <c r="C14" s="20">
        <f>SUMIF('Facturas emitidas'!F2:F15, B14, 'Facturas emitidas'!H2:H15)</f>
        <v/>
      </c>
      <c r="D14" s="20">
        <f>SUMIF('Facturas emitidas'!F2:F15, B14, 'Facturas emitidas'!N2:N15)</f>
        <v/>
      </c>
      <c r="E14" s="17" t="inlineStr">
        <is>
          <t>No</t>
        </is>
      </c>
      <c r="F14" s="17" t="inlineStr">
        <is>
          <t>No</t>
        </is>
      </c>
      <c r="G14" s="17" t="inlineStr">
        <is>
          <t>No (Pendiente)</t>
        </is>
      </c>
      <c r="H14" s="19" t="inlineStr">
        <is>
          <t>No supera el límite de 3.005,06 €.</t>
        </is>
      </c>
    </row>
    <row r="15">
      <c r="A15" s="19" t="inlineStr">
        <is>
          <t>Universidad Pontificia de Salamanca</t>
        </is>
      </c>
      <c r="B15" s="17" t="inlineStr">
        <is>
          <t>R3700047H</t>
        </is>
      </c>
      <c r="C15" s="20">
        <f>SUMIF('Facturas emitidas'!F2:F15, B15, 'Facturas emitidas'!H2:H15)</f>
        <v/>
      </c>
      <c r="D15" s="20">
        <f>SUMIF('Facturas emitidas'!F2:F15, B15, 'Facturas emitidas'!N2:N15)</f>
        <v/>
      </c>
      <c r="E15" s="17" t="inlineStr">
        <is>
          <t>No</t>
        </is>
      </c>
      <c r="F15" s="17" t="inlineStr">
        <is>
          <t>No</t>
        </is>
      </c>
      <c r="G15" s="17" t="inlineStr">
        <is>
          <t>No (Pendiente)</t>
        </is>
      </c>
      <c r="H15" s="19" t="inlineStr">
        <is>
          <t>No supera el límite de 3.005,06 €.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35" customWidth="1" min="3" max="3"/>
    <col width="25" customWidth="1" min="4" max="4"/>
  </cols>
  <sheetData>
    <row r="1">
      <c r="A1" s="1" t="inlineStr">
        <is>
          <t>DATOS PARA PREPARACIÓN DE RESÚMENES ANUALES (MODELOS 390, 190, 180, etc.)</t>
        </is>
      </c>
    </row>
    <row r="2"/>
    <row r="3">
      <c r="A3" s="31" t="inlineStr">
        <is>
          <t>Modelo de Resumen Anual</t>
        </is>
      </c>
      <c r="B3" s="31" t="inlineStr">
        <is>
          <t>Base / Cuota Relacionada</t>
        </is>
      </c>
      <c r="C3" s="31" t="inlineStr">
        <is>
          <t>Fórmula de Acumulación</t>
        </is>
      </c>
      <c r="D3" s="31" t="inlineStr">
        <is>
          <t>Importe Estimado</t>
        </is>
      </c>
    </row>
    <row r="4">
      <c r="A4" s="32" t="inlineStr">
        <is>
          <t>Modelo 390 (IVA Resumen Anual)</t>
        </is>
      </c>
      <c r="B4" s="32" t="inlineStr">
        <is>
          <t>Base Imponible total sujeta a 21%</t>
        </is>
      </c>
      <c r="C4" s="8">
        <f>'IVA repercutido por tipos'!B2</f>
        <v/>
      </c>
      <c r="D4" s="33" t="inlineStr">
        <is>
          <t>Comprobado y conforme</t>
        </is>
      </c>
    </row>
    <row r="5">
      <c r="A5" s="32" t="inlineStr">
        <is>
          <t>Modelo 390 (IVA Resumen Anual)</t>
        </is>
      </c>
      <c r="B5" s="32" t="inlineStr">
        <is>
          <t>Cuota IVA total repercutido general (21%)</t>
        </is>
      </c>
      <c r="C5" s="8">
        <f>'IVA repercutido por tipos'!C2</f>
        <v/>
      </c>
      <c r="D5" s="33" t="inlineStr">
        <is>
          <t>Comprobado y conforme</t>
        </is>
      </c>
    </row>
    <row r="6">
      <c r="A6" s="32" t="inlineStr">
        <is>
          <t>Modelo 390 (IVA Resumen Anual)</t>
        </is>
      </c>
      <c r="B6" s="32" t="inlineStr">
        <is>
          <t>Base Imponible total sujeta a 10%</t>
        </is>
      </c>
      <c r="C6" s="8">
        <f>'IVA repercutido por tipos'!B3</f>
        <v/>
      </c>
      <c r="D6" s="33" t="inlineStr">
        <is>
          <t>Comprobado y conforme</t>
        </is>
      </c>
    </row>
    <row r="7">
      <c r="A7" s="32" t="inlineStr">
        <is>
          <t>Modelo 390 (IVA Resumen Anual)</t>
        </is>
      </c>
      <c r="B7" s="32" t="inlineStr">
        <is>
          <t>Cuota IVA total repercutido reducido (10%)</t>
        </is>
      </c>
      <c r="C7" s="8">
        <f>'IVA repercutido por tipos'!C3</f>
        <v/>
      </c>
      <c r="D7" s="33" t="inlineStr">
        <is>
          <t>Comprobado y conforme</t>
        </is>
      </c>
    </row>
    <row r="8">
      <c r="A8" s="32" t="inlineStr">
        <is>
          <t>Modelo 390 (IVA Resumen Anual)</t>
        </is>
      </c>
      <c r="B8" s="32" t="inlineStr">
        <is>
          <t>Base operaciones intracomunitarias (exentas)</t>
        </is>
      </c>
      <c r="C8" s="8">
        <f>'IVA repercutido por tipos'!B4</f>
        <v/>
      </c>
      <c r="D8" s="33" t="inlineStr">
        <is>
          <t>Comprobado y conforme</t>
        </is>
      </c>
    </row>
    <row r="9">
      <c r="A9" s="32" t="inlineStr">
        <is>
          <t>Modelo 190 (Retenciones Resumen Anual)</t>
        </is>
      </c>
      <c r="B9" s="32" t="inlineStr">
        <is>
          <t>Retenciones de profesionales sufridas (B2B)</t>
        </is>
      </c>
      <c r="C9" s="8">
        <f>'Retenciones'!I8</f>
        <v/>
      </c>
      <c r="D9" s="33" t="inlineStr">
        <is>
          <t>Comprobado y conforme</t>
        </is>
      </c>
    </row>
    <row r="10">
      <c r="A10" s="32" t="inlineStr">
        <is>
          <t>Modelo 180 (Alquileres Resumen Anual)</t>
        </is>
      </c>
      <c r="B10" s="32" t="inlineStr">
        <is>
          <t>Retenciones por alquileres (No procede)</t>
        </is>
      </c>
      <c r="C10" s="8" t="n">
        <v>0</v>
      </c>
      <c r="D10" s="33" t="inlineStr">
        <is>
          <t>Comprobado y conforme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40" customWidth="1" min="4" max="4"/>
    <col width="286" customWidth="1" min="5" max="5"/>
    <col width="154" customWidth="1" min="6" max="6"/>
    <col width="139" customWidth="1" min="7" max="7"/>
    <col width="25" customWidth="1" min="8" max="8"/>
  </cols>
  <sheetData>
    <row r="1">
      <c r="A1" s="1" t="inlineStr">
        <is>
          <t>ALERTAS Y REVISIONES DEL TRIMESTRE</t>
        </is>
      </c>
    </row>
    <row r="2">
      <c r="A2" t="inlineStr">
        <is>
          <t>ID</t>
        </is>
      </c>
      <c r="B2" t="inlineStr">
        <is>
          <t>Nivel de Alerta</t>
        </is>
      </c>
      <c r="C2" t="inlineStr">
        <is>
          <t>Documento / Registro Afectado</t>
        </is>
      </c>
      <c r="D2" t="inlineStr">
        <is>
          <t>Tipo de Incidencia</t>
        </is>
      </c>
      <c r="E2" t="inlineStr">
        <is>
          <t>Explicación Detallada</t>
        </is>
      </c>
      <c r="F2" t="inlineStr">
        <is>
          <t>Posible Efecto Fiscal</t>
        </is>
      </c>
      <c r="G2" t="inlineStr">
        <is>
          <t>Acción Recomendada o Propuesta</t>
        </is>
      </c>
      <c r="H2" t="inlineStr">
        <is>
          <t>Estado de Revisión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s="17" t="n">
        <v>1</v>
      </c>
      <c r="B4" s="34" t="inlineStr">
        <is>
          <t>Rojo</t>
        </is>
      </c>
      <c r="C4" s="19" t="inlineStr">
        <is>
          <t>Raúl Adsilent Salamanca 1278-26.pdf</t>
        </is>
      </c>
      <c r="D4" s="19" t="inlineStr">
        <is>
          <t>Discrepancia en número de factura</t>
        </is>
      </c>
      <c r="E4" s="19" t="inlineStr">
        <is>
          <t>El archivo físico está rotulado como 1278-26.pdf, pero la numeración de la factura en el texto interior indica 'Factura nº 1277/26'. Esto genera una incoherencia interna de archivo y un salto de serie en las facturas emitidas, puesto que no consta factura física nº 1278 ni nº 1279.</t>
        </is>
      </c>
      <c r="F4" s="19" t="inlineStr">
        <is>
          <t>Riesgo de sanción por la Agencia Tributaria ante saltos de numeración sin justificar en las series oficiales.</t>
        </is>
      </c>
      <c r="G4" s="19" t="inlineStr">
        <is>
          <t>Confirmar con el cliente si existe otra factura nº 1278 emitida o si es un mero error tipográfico al guardar el PDF de la factura 1277.</t>
        </is>
      </c>
      <c r="H4" s="35" t="inlineStr">
        <is>
          <t>Pendiente de revisión</t>
        </is>
      </c>
    </row>
    <row r="5">
      <c r="A5" s="17" t="n">
        <v>2</v>
      </c>
      <c r="B5" s="35" t="inlineStr">
        <is>
          <t>Amarillo</t>
        </is>
      </c>
      <c r="C5" s="19" t="inlineStr">
        <is>
          <t>Palacio de Congresos de Ávila (Fact. 1285/26)</t>
        </is>
      </c>
      <c r="D5" s="19" t="inlineStr">
        <is>
          <t>Error tipográfico en IVA</t>
        </is>
      </c>
      <c r="E5" s="19" t="inlineStr">
        <is>
          <t>El importe del IVA repercutido (21%) sobre la base de 400.00 € se indica textualmente como '84.000 €'. Sin embargo, el total es de 484.00 €, lo cual indica que la cuota de IVA correcta es 84.00 €.</t>
        </is>
      </c>
      <c r="F5" s="19" t="inlineStr">
        <is>
          <t>Mero error tipográfico de imprenta (tres ceros de más). El cálculo y presentación en el Modelo 303 se realizará sobre la cuota correcta de 84.00 €.</t>
        </is>
      </c>
      <c r="G5" s="19" t="inlineStr">
        <is>
          <t>Ninguna acción necesaria más allá de dejar constancia en la auditoría fiscal interna.</t>
        </is>
      </c>
      <c r="H5" s="36" t="inlineStr">
        <is>
          <t>Comprobado</t>
        </is>
      </c>
    </row>
    <row r="6">
      <c r="A6" s="17" t="n">
        <v>3</v>
      </c>
      <c r="B6" s="35" t="inlineStr">
        <is>
          <t>Amarillo</t>
        </is>
      </c>
      <c r="C6" s="19" t="inlineStr">
        <is>
          <t>Pianos Maene N.V. (Fact. 1280/26)</t>
        </is>
      </c>
      <c r="D6" s="19" t="inlineStr">
        <is>
          <t>Error de cálculo en línea de detalle</t>
        </is>
      </c>
      <c r="E6" s="19" t="inlineStr">
        <is>
          <t>La línea de detalle indica '15 days x 295 € ....... 3.540.00 €' (lo cual matemáticamente es incorrecto, ya que 15 * 295 = 4425), pero el TOTAL final indica correctamente 'TOTAL ....... 4.425,00 €'.</t>
        </is>
      </c>
      <c r="F6" s="19" t="inlineStr">
        <is>
          <t>No hay diferencia en el importe total declarado. Se contabiliza por la base imponible correcta de 4.425,00 €.</t>
        </is>
      </c>
      <c r="G6" s="19" t="inlineStr">
        <is>
          <t>Dejar reflejado en el informe que el total del documento es correcto para evitar confusiones de auditoría.</t>
        </is>
      </c>
      <c r="H6" s="36" t="inlineStr">
        <is>
          <t>Comprobado</t>
        </is>
      </c>
    </row>
    <row r="7">
      <c r="A7" s="17" t="n">
        <v>4</v>
      </c>
      <c r="B7" s="36" t="inlineStr">
        <is>
          <t>Verde</t>
        </is>
      </c>
      <c r="C7" s="19" t="inlineStr">
        <is>
          <t>Fundación Salamanca (Fact. 1282, 1286, 1289)</t>
        </is>
      </c>
      <c r="D7" s="19" t="inlineStr">
        <is>
          <t>Sin retención profesional</t>
        </is>
      </c>
      <c r="E7" s="19" t="inlineStr">
        <is>
          <t>Las facturas emitidas a la Fundación Salamanca Ciudad de Cultura y Saberes no contienen retención profesional del 7% de IRPF.</t>
        </is>
      </c>
      <c r="F7" s="19" t="inlineStr">
        <is>
          <t>Correcto. La Fundación incluye la leyenda de que se trata de actividad empresarial no sujeta a retención, por lo que no procede retención profesional.</t>
        </is>
      </c>
      <c r="G7" s="19" t="inlineStr">
        <is>
          <t>Ninguna, tratamiento fiscal correcto.</t>
        </is>
      </c>
      <c r="H7" s="36" t="inlineStr">
        <is>
          <t>Comprobado</t>
        </is>
      </c>
    </row>
    <row r="8">
      <c r="A8" s="17" t="n">
        <v>5</v>
      </c>
      <c r="B8" s="36" t="inlineStr">
        <is>
          <t>Verde</t>
        </is>
      </c>
      <c r="C8" s="19" t="inlineStr">
        <is>
          <t>Clientes Particulares (Monica Logani, Marina Elias)</t>
        </is>
      </c>
      <c r="D8" s="19" t="inlineStr">
        <is>
          <t>Sin retención profesional</t>
        </is>
      </c>
      <c r="E8" s="19" t="inlineStr">
        <is>
          <t>No se aplica retención del IRPF en las facturas emitidas a particulares en España (Monica Logani y Marina Elias Malarka).</t>
        </is>
      </c>
      <c r="F8" s="19" t="inlineStr">
        <is>
          <t>Correcto. Las retenciones solo se practican en facturas a personas jurídicas o autónomos, nunca a particulares.</t>
        </is>
      </c>
      <c r="G8" s="19" t="inlineStr">
        <is>
          <t>Ninguna, tratamiento fiscal correcto.</t>
        </is>
      </c>
      <c r="H8" s="36" t="inlineStr">
        <is>
          <t>Comprobado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9" customWidth="1" min="3" max="3"/>
    <col width="26" customWidth="1" min="4" max="4"/>
    <col width="23" customWidth="1" min="5" max="5"/>
    <col width="27" customWidth="1" min="6" max="6"/>
  </cols>
  <sheetData>
    <row r="1">
      <c r="A1" s="1" t="inlineStr">
        <is>
          <t>RELACIÓN DE DOCUMENTOS PROCESADOS - 2T 2026</t>
        </is>
      </c>
    </row>
    <row r="2">
      <c r="A2" s="16" t="inlineStr">
        <is>
          <t>Nº</t>
        </is>
      </c>
      <c r="B2" s="16" t="inlineStr">
        <is>
          <t>Nombre del Archivo</t>
        </is>
      </c>
      <c r="C2" s="16" t="inlineStr">
        <is>
          <t>Tipo de Documento</t>
        </is>
      </c>
      <c r="D2" s="16" t="inlineStr">
        <is>
          <t>Fecha de Procesamiento</t>
        </is>
      </c>
      <c r="E2" s="16" t="inlineStr">
        <is>
          <t>Registros Generados</t>
        </is>
      </c>
      <c r="F2" s="16" t="inlineStr">
        <is>
          <t>Estado de Carga</t>
        </is>
      </c>
    </row>
    <row r="3">
      <c r="A3" s="17" t="n">
        <v>1</v>
      </c>
      <c r="B3" s="19" t="inlineStr">
        <is>
          <t>Raúl Adsilent Salamanca 1278-26.pdf</t>
        </is>
      </c>
      <c r="C3" s="19" t="inlineStr">
        <is>
          <t>Factura Emitida (1277/26)</t>
        </is>
      </c>
      <c r="D3" s="17" t="inlineStr">
        <is>
          <t>13/07/2026</t>
        </is>
      </c>
      <c r="E3" s="17" t="n">
        <v>1</v>
      </c>
      <c r="F3" s="36" t="inlineStr">
        <is>
          <t>Procesado correctamente</t>
        </is>
      </c>
    </row>
    <row r="4">
      <c r="A4" s="17" t="n">
        <v>2</v>
      </c>
      <c r="B4" s="19" t="inlineStr">
        <is>
          <t>Pianos Maene 1280-26.pdf</t>
        </is>
      </c>
      <c r="C4" s="19" t="inlineStr">
        <is>
          <t>Factura Emitida (1280/26)</t>
        </is>
      </c>
      <c r="D4" s="17" t="inlineStr">
        <is>
          <t>13/07/2026</t>
        </is>
      </c>
      <c r="E4" s="17" t="n">
        <v>1</v>
      </c>
      <c r="F4" s="36" t="inlineStr">
        <is>
          <t>Procesado correctamente</t>
        </is>
      </c>
    </row>
    <row r="5">
      <c r="A5" s="17" t="n">
        <v>3</v>
      </c>
      <c r="B5" s="19" t="inlineStr">
        <is>
          <t>Hinves Pianos 1281.26.pdf</t>
        </is>
      </c>
      <c r="C5" s="19" t="inlineStr">
        <is>
          <t>Factura Emitida (1281/26)</t>
        </is>
      </c>
      <c r="D5" s="17" t="inlineStr">
        <is>
          <t>13/07/2026</t>
        </is>
      </c>
      <c r="E5" s="17" t="n">
        <v>1</v>
      </c>
      <c r="F5" s="36" t="inlineStr">
        <is>
          <t>Procesado correctamente</t>
        </is>
      </c>
    </row>
    <row r="6">
      <c r="A6" s="17" t="n">
        <v>4</v>
      </c>
      <c r="B6" s="19" t="inlineStr">
        <is>
          <t>Fundacion Salamanca. 1282-26.pdf</t>
        </is>
      </c>
      <c r="C6" s="19" t="inlineStr">
        <is>
          <t>Factura Emitida (1282/26)</t>
        </is>
      </c>
      <c r="D6" s="17" t="inlineStr">
        <is>
          <t>13/07/2026</t>
        </is>
      </c>
      <c r="E6" s="17" t="n">
        <v>1</v>
      </c>
      <c r="F6" s="36" t="inlineStr">
        <is>
          <t>Procesado correctamente</t>
        </is>
      </c>
    </row>
    <row r="7">
      <c r="A7" s="17" t="n">
        <v>5</v>
      </c>
      <c r="B7" s="19" t="inlineStr">
        <is>
          <t>Univ. Pontifi. 1283.26.pdf</t>
        </is>
      </c>
      <c r="C7" s="19" t="inlineStr">
        <is>
          <t>Factura Emitida (1283/26)</t>
        </is>
      </c>
      <c r="D7" s="17" t="inlineStr">
        <is>
          <t>13/07/2026</t>
        </is>
      </c>
      <c r="E7" s="17" t="n">
        <v>1</v>
      </c>
      <c r="F7" s="36" t="inlineStr">
        <is>
          <t>Procesado correctamente</t>
        </is>
      </c>
    </row>
    <row r="8">
      <c r="A8" s="17" t="n">
        <v>6</v>
      </c>
      <c r="B8" s="19" t="inlineStr">
        <is>
          <t>Hinves Pianos 1284.26.pdf</t>
        </is>
      </c>
      <c r="C8" s="19" t="inlineStr">
        <is>
          <t>Factura Emitida (1284/26)</t>
        </is>
      </c>
      <c r="D8" s="17" t="inlineStr">
        <is>
          <t>13/07/2026</t>
        </is>
      </c>
      <c r="E8" s="17" t="n">
        <v>1</v>
      </c>
      <c r="F8" s="36" t="inlineStr">
        <is>
          <t>Procesado correctamente</t>
        </is>
      </c>
    </row>
    <row r="9">
      <c r="A9" s="17" t="n">
        <v>7</v>
      </c>
      <c r="B9" s="19" t="inlineStr">
        <is>
          <t>Palacio de Congresos de Avila.1285-26.pdf</t>
        </is>
      </c>
      <c r="C9" s="19" t="inlineStr">
        <is>
          <t>Factura Emitida (1285/26)</t>
        </is>
      </c>
      <c r="D9" s="17" t="inlineStr">
        <is>
          <t>13/07/2026</t>
        </is>
      </c>
      <c r="E9" s="17" t="n">
        <v>1</v>
      </c>
      <c r="F9" s="36" t="inlineStr">
        <is>
          <t>Procesado correctamente</t>
        </is>
      </c>
    </row>
    <row r="10">
      <c r="A10" s="17" t="n">
        <v>8</v>
      </c>
      <c r="B10" s="19" t="inlineStr">
        <is>
          <t>Fundacion Salamanca. 1286-26.pdf</t>
        </is>
      </c>
      <c r="C10" s="19" t="inlineStr">
        <is>
          <t>Factura Emitida (1286/26)</t>
        </is>
      </c>
      <c r="D10" s="17" t="inlineStr">
        <is>
          <t>13/07/2026</t>
        </is>
      </c>
      <c r="E10" s="17" t="n">
        <v>1</v>
      </c>
      <c r="F10" s="36" t="inlineStr">
        <is>
          <t>Procesado correctamente</t>
        </is>
      </c>
    </row>
    <row r="11">
      <c r="A11" s="17" t="n">
        <v>9</v>
      </c>
      <c r="B11" s="19" t="inlineStr">
        <is>
          <t>Hinves Pianos 1287.26.pdf</t>
        </is>
      </c>
      <c r="C11" s="19" t="inlineStr">
        <is>
          <t>Factura Emitida (1287/26)</t>
        </is>
      </c>
      <c r="D11" s="17" t="inlineStr">
        <is>
          <t>13/07/2026</t>
        </is>
      </c>
      <c r="E11" s="17" t="n">
        <v>1</v>
      </c>
      <c r="F11" s="36" t="inlineStr">
        <is>
          <t>Procesado correctamente</t>
        </is>
      </c>
    </row>
    <row r="12">
      <c r="A12" s="17" t="n">
        <v>10</v>
      </c>
      <c r="B12" s="19" t="inlineStr">
        <is>
          <t>Queens Pianos, 1288.26.pdf</t>
        </is>
      </c>
      <c r="C12" s="19" t="inlineStr">
        <is>
          <t>Factura Emitida (1288/26)</t>
        </is>
      </c>
      <c r="D12" s="17" t="inlineStr">
        <is>
          <t>13/07/2026</t>
        </is>
      </c>
      <c r="E12" s="17" t="n">
        <v>1</v>
      </c>
      <c r="F12" s="36" t="inlineStr">
        <is>
          <t>Procesado correctamente</t>
        </is>
      </c>
    </row>
    <row r="13">
      <c r="A13" s="17" t="n">
        <v>11</v>
      </c>
      <c r="B13" s="19" t="inlineStr">
        <is>
          <t>Fundacion Salamanca. 1289-26.pdf</t>
        </is>
      </c>
      <c r="C13" s="19" t="inlineStr">
        <is>
          <t>Factura Emitida (1289/26)</t>
        </is>
      </c>
      <c r="D13" s="17" t="inlineStr">
        <is>
          <t>13/07/2026</t>
        </is>
      </c>
      <c r="E13" s="17" t="n">
        <v>1</v>
      </c>
      <c r="F13" s="36" t="inlineStr">
        <is>
          <t>Procesado correctamente</t>
        </is>
      </c>
    </row>
    <row r="14">
      <c r="A14" s="17" t="n">
        <v>12</v>
      </c>
      <c r="B14" s="19" t="inlineStr">
        <is>
          <t>Monica Logani 1290.26.pdf</t>
        </is>
      </c>
      <c r="C14" s="19" t="inlineStr">
        <is>
          <t>Factura Emitida (1290/26)</t>
        </is>
      </c>
      <c r="D14" s="17" t="inlineStr">
        <is>
          <t>13/07/2026</t>
        </is>
      </c>
      <c r="E14" s="17" t="n">
        <v>1</v>
      </c>
      <c r="F14" s="36" t="inlineStr">
        <is>
          <t>Procesado correctamente</t>
        </is>
      </c>
    </row>
    <row r="15">
      <c r="A15" s="17" t="n">
        <v>13</v>
      </c>
      <c r="B15" s="19" t="inlineStr">
        <is>
          <t>Marina  1291.26.pdf</t>
        </is>
      </c>
      <c r="C15" s="19" t="inlineStr">
        <is>
          <t>Factura Emitida (1291/26)</t>
        </is>
      </c>
      <c r="D15" s="17" t="inlineStr">
        <is>
          <t>13/07/2026</t>
        </is>
      </c>
      <c r="E15" s="17" t="n">
        <v>1</v>
      </c>
      <c r="F15" s="36" t="inlineStr">
        <is>
          <t>Procesado correctamente</t>
        </is>
      </c>
    </row>
    <row r="16">
      <c r="A16" s="17" t="n">
        <v>14</v>
      </c>
      <c r="B16" s="19" t="inlineStr">
        <is>
          <t>Sirinx 1292.26.pdf</t>
        </is>
      </c>
      <c r="C16" s="19" t="inlineStr">
        <is>
          <t>Factura Emitida (1292/26)</t>
        </is>
      </c>
      <c r="D16" s="17" t="inlineStr">
        <is>
          <t>13/07/2026</t>
        </is>
      </c>
      <c r="E16" s="17" t="n">
        <v>1</v>
      </c>
      <c r="F16" s="36" t="inlineStr">
        <is>
          <t>Procesado correctly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02" customWidth="1" min="3" max="3"/>
    <col width="26" customWidth="1" min="4" max="4"/>
    <col width="162" customWidth="1" min="5" max="5"/>
  </cols>
  <sheetData>
    <row r="1">
      <c r="A1" s="1" t="inlineStr">
        <is>
          <t>RELACIÓN DE DOCUMENTOS PENDIENTES, DUDOSOS O RECHAZADOS</t>
        </is>
      </c>
    </row>
    <row r="2">
      <c r="A2" t="inlineStr">
        <is>
          <t>Nº</t>
        </is>
      </c>
      <c r="B2" t="inlineStr">
        <is>
          <t>Descripción / Documento</t>
        </is>
      </c>
      <c r="C2" t="inlineStr">
        <is>
          <t>Motivo de Incidencia</t>
        </is>
      </c>
      <c r="D2" t="inlineStr">
        <is>
          <t>Estado</t>
        </is>
      </c>
      <c r="E2" t="inlineStr">
        <is>
          <t>Acción Recomendada</t>
        </is>
      </c>
    </row>
    <row r="3">
      <c r="A3" s="16" t="n"/>
      <c r="B3" s="16" t="n"/>
      <c r="C3" s="16" t="n"/>
      <c r="D3" s="16" t="n"/>
      <c r="E3" s="16" t="n"/>
    </row>
    <row r="4">
      <c r="A4" s="17" t="n">
        <v>1</v>
      </c>
      <c r="B4" s="19" t="inlineStr">
        <is>
          <t>Justificantes de Gastos</t>
        </is>
      </c>
      <c r="C4" s="19" t="inlineStr">
        <is>
          <t>No se han aportado facturas recibidas de gastos corrientes ni bienes de inversión para el 2T 2026.</t>
        </is>
      </c>
      <c r="D4" s="35" t="inlineStr">
        <is>
          <t>Pendiente de confirmar</t>
        </is>
      </c>
      <c r="E4" s="19" t="inlineStr">
        <is>
          <t>Consultar con el contribuyente si dispone de facturas de gastos para deducir (e.g. cuota de autónomos, combustible, materiales de afinación, telefonía, etc.).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2026-07-13T21:21:59Z</dcterms:created>
  <dcterms:modified xsi:type="dcterms:W3CDTF">2026-07-13T21:21:59Z</dcterms:modified>
</cp:coreProperties>
</file>